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ykhor\Downloads\"/>
    </mc:Choice>
  </mc:AlternateContent>
  <xr:revisionPtr revIDLastSave="0" documentId="13_ncr:1_{6AD340A1-0E51-4C46-BC38-C2235A103CBD}" xr6:coauthVersionLast="47" xr6:coauthVersionMax="47" xr10:uidLastSave="{00000000-0000-0000-0000-000000000000}"/>
  <bookViews>
    <workbookView xWindow="22932" yWindow="-2484" windowWidth="30936" windowHeight="17040" tabRatio="658" xr2:uid="{00000000-000D-0000-FFFF-FFFF00000000}"/>
  </bookViews>
  <sheets>
    <sheet name="Total" sheetId="10" r:id="rId1"/>
    <sheet name="Error Combinations" sheetId="11" state="hidden" r:id="rId2"/>
    <sheet name="calTotal" sheetId="1" state="veryHidden" r:id="rId3"/>
    <sheet name="Logic" sheetId="2" r:id="rId4"/>
    <sheet name="Memory" sheetId="4" r:id="rId5"/>
    <sheet name="Multiplier" sheetId="5" r:id="rId6"/>
    <sheet name="Clock" sheetId="7" r:id="rId7"/>
    <sheet name="IO" sheetId="3" r:id="rId8"/>
    <sheet name="PLL" sheetId="6" r:id="rId9"/>
    <sheet name="Revision_History_Full" sheetId="8" state="veryHidden" r:id="rId10"/>
    <sheet name="Revision History" sheetId="9" r:id="rId11"/>
  </sheets>
  <definedNames>
    <definedName name="hide" localSheetId="0">Total!#REF!</definedName>
    <definedName name="hide">calTotal!#REF!</definedName>
    <definedName name="new" localSheetId="0">Total!$31:$32</definedName>
    <definedName name="new">calTotal!$31:$32</definedName>
    <definedName name="Package" localSheetId="0">Total!$E$7</definedName>
    <definedName name="Package">calTotal!$E$7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3" i="2" l="1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E7" i="1" l="1"/>
  <c r="E8" i="1"/>
  <c r="E9" i="1"/>
  <c r="E12" i="1" s="1"/>
  <c r="E10" i="1"/>
  <c r="E11" i="1"/>
  <c r="M20" i="10"/>
  <c r="M19" i="10"/>
  <c r="E19" i="10"/>
  <c r="E13" i="10"/>
  <c r="E12" i="10"/>
  <c r="Q47" i="3" l="1"/>
  <c r="P50" i="3"/>
  <c r="Q48" i="3"/>
  <c r="Q49" i="3"/>
  <c r="Q41" i="3"/>
  <c r="Q50" i="3"/>
  <c r="P45" i="3"/>
  <c r="P47" i="3"/>
  <c r="P49" i="3"/>
  <c r="P42" i="3"/>
  <c r="P43" i="3"/>
  <c r="P44" i="3"/>
  <c r="Q43" i="3"/>
  <c r="Q44" i="3"/>
  <c r="Q45" i="3"/>
  <c r="P46" i="3"/>
  <c r="P48" i="3"/>
  <c r="Q46" i="3"/>
  <c r="E13" i="1"/>
  <c r="M21" i="10"/>
  <c r="E21" i="10" s="1"/>
  <c r="K33" i="1" l="1"/>
  <c r="K34" i="1"/>
  <c r="Q9" i="3" l="1"/>
  <c r="B37" i="3" l="1"/>
  <c r="B36" i="3"/>
  <c r="Q42" i="3" s="1"/>
  <c r="B35" i="3"/>
  <c r="P41" i="3" s="1"/>
  <c r="R44" i="3" l="1"/>
  <c r="K44" i="3" s="1"/>
  <c r="R42" i="3"/>
  <c r="K42" i="3" s="1"/>
  <c r="R43" i="3"/>
  <c r="K43" i="3" s="1"/>
  <c r="R45" i="3"/>
  <c r="K45" i="3" s="1"/>
  <c r="R47" i="3"/>
  <c r="K47" i="3" s="1"/>
  <c r="R48" i="3"/>
  <c r="K48" i="3" s="1"/>
  <c r="R49" i="3"/>
  <c r="K49" i="3" s="1"/>
  <c r="R46" i="3"/>
  <c r="K46" i="3" s="1"/>
  <c r="R41" i="3"/>
  <c r="K41" i="3" s="1"/>
  <c r="R50" i="3"/>
  <c r="K50" i="3" s="1"/>
  <c r="D36" i="3"/>
  <c r="D35" i="3"/>
  <c r="D37" i="3" l="1"/>
  <c r="D38" i="3"/>
  <c r="M20" i="1" l="1"/>
  <c r="I18" i="3" l="1"/>
  <c r="I17" i="3"/>
  <c r="I16" i="3"/>
  <c r="I14" i="3"/>
  <c r="I13" i="3"/>
  <c r="I12" i="3"/>
  <c r="B4" i="6" l="1"/>
  <c r="B3" i="6"/>
  <c r="J7" i="6" s="1"/>
  <c r="B2" i="6"/>
  <c r="I7" i="6" s="1"/>
  <c r="B2" i="3"/>
  <c r="AD17" i="3" s="1"/>
  <c r="B2" i="7"/>
  <c r="D8" i="7" s="1"/>
  <c r="B2" i="5"/>
  <c r="B2" i="4"/>
  <c r="B2" i="2"/>
  <c r="B5" i="3"/>
  <c r="B4" i="3"/>
  <c r="Y12" i="3" s="1"/>
  <c r="B3" i="3"/>
  <c r="G8" i="6"/>
  <c r="H8" i="6"/>
  <c r="I8" i="6"/>
  <c r="J8" i="6"/>
  <c r="G9" i="6"/>
  <c r="H9" i="6"/>
  <c r="I9" i="6"/>
  <c r="J9" i="6"/>
  <c r="D9" i="6" s="1"/>
  <c r="G10" i="6"/>
  <c r="H10" i="6"/>
  <c r="I10" i="6"/>
  <c r="J10" i="6"/>
  <c r="D10" i="6" s="1"/>
  <c r="G11" i="6"/>
  <c r="H11" i="6"/>
  <c r="I11" i="6"/>
  <c r="J11" i="6"/>
  <c r="G12" i="6"/>
  <c r="H12" i="6"/>
  <c r="D12" i="6" s="1"/>
  <c r="I12" i="6"/>
  <c r="J12" i="6"/>
  <c r="H13" i="6"/>
  <c r="J13" i="6"/>
  <c r="H14" i="6"/>
  <c r="J14" i="6"/>
  <c r="D14" i="6" s="1"/>
  <c r="H15" i="6"/>
  <c r="J15" i="6"/>
  <c r="H16" i="6"/>
  <c r="J16" i="6"/>
  <c r="D16" i="6" s="1"/>
  <c r="H17" i="6"/>
  <c r="J17" i="6"/>
  <c r="H18" i="6"/>
  <c r="J18" i="6"/>
  <c r="D18" i="6" s="1"/>
  <c r="H19" i="6"/>
  <c r="J19" i="6"/>
  <c r="H20" i="6"/>
  <c r="J20" i="6"/>
  <c r="D20" i="6" s="1"/>
  <c r="H21" i="6"/>
  <c r="J21" i="6"/>
  <c r="H22" i="6"/>
  <c r="J22" i="6"/>
  <c r="D22" i="6" s="1"/>
  <c r="H23" i="6"/>
  <c r="J23" i="6"/>
  <c r="H24" i="6"/>
  <c r="J24" i="6"/>
  <c r="D24" i="6" s="1"/>
  <c r="H25" i="6"/>
  <c r="J25" i="6"/>
  <c r="D25" i="6" s="1"/>
  <c r="D11" i="6"/>
  <c r="D13" i="6"/>
  <c r="D15" i="6"/>
  <c r="D17" i="6"/>
  <c r="D19" i="6"/>
  <c r="D21" i="6"/>
  <c r="D23" i="6"/>
  <c r="E19" i="1"/>
  <c r="T9" i="3"/>
  <c r="Y9" i="3"/>
  <c r="X9" i="3"/>
  <c r="T11" i="3"/>
  <c r="T15" i="3"/>
  <c r="X13" i="3"/>
  <c r="X14" i="3"/>
  <c r="T16" i="3"/>
  <c r="Y17" i="3"/>
  <c r="T18" i="3"/>
  <c r="T12" i="3"/>
  <c r="X11" i="3"/>
  <c r="Y13" i="3"/>
  <c r="X15" i="3"/>
  <c r="Y15" i="3"/>
  <c r="X17" i="3"/>
  <c r="P17" i="3"/>
  <c r="T10" i="3"/>
  <c r="P15" i="3"/>
  <c r="Z15" i="3"/>
  <c r="Z11" i="3"/>
  <c r="P13" i="3"/>
  <c r="Z13" i="3"/>
  <c r="X10" i="3"/>
  <c r="Z18" i="3"/>
  <c r="X18" i="3"/>
  <c r="X16" i="3"/>
  <c r="Y10" i="3"/>
  <c r="Z16" i="3"/>
  <c r="P16" i="3"/>
  <c r="Y16" i="3"/>
  <c r="T13" i="3"/>
  <c r="T14" i="3"/>
  <c r="Z12" i="3"/>
  <c r="X12" i="3"/>
  <c r="Z14" i="3"/>
  <c r="P14" i="3"/>
  <c r="Y14" i="3"/>
  <c r="AE10" i="3"/>
  <c r="AE11" i="3"/>
  <c r="AE9" i="3"/>
  <c r="AC10" i="3"/>
  <c r="Q11" i="3"/>
  <c r="AC11" i="3"/>
  <c r="AC9" i="3"/>
  <c r="Q10" i="3"/>
  <c r="AF11" i="3"/>
  <c r="R9" i="3"/>
  <c r="AF12" i="3"/>
  <c r="AF9" i="3"/>
  <c r="AD10" i="3"/>
  <c r="R10" i="3"/>
  <c r="AF10" i="3"/>
  <c r="AD11" i="3"/>
  <c r="AD12" i="3"/>
  <c r="AD9" i="3"/>
  <c r="R11" i="3"/>
  <c r="D8" i="6" l="1"/>
  <c r="I16" i="6"/>
  <c r="I24" i="6"/>
  <c r="I23" i="6"/>
  <c r="I15" i="6"/>
  <c r="I20" i="6"/>
  <c r="I25" i="6"/>
  <c r="I17" i="6"/>
  <c r="I14" i="6"/>
  <c r="I22" i="6"/>
  <c r="I19" i="6"/>
  <c r="I21" i="6"/>
  <c r="I13" i="6"/>
  <c r="I18" i="6"/>
  <c r="G25" i="6"/>
  <c r="G23" i="6"/>
  <c r="G21" i="6"/>
  <c r="G19" i="6"/>
  <c r="G17" i="6"/>
  <c r="G15" i="6"/>
  <c r="G24" i="6"/>
  <c r="G22" i="6"/>
  <c r="G20" i="6"/>
  <c r="G18" i="6"/>
  <c r="G16" i="6"/>
  <c r="G14" i="6"/>
  <c r="F5" i="2"/>
  <c r="F22" i="2"/>
  <c r="G13" i="6"/>
  <c r="H7" i="6"/>
  <c r="E18" i="4"/>
  <c r="E5" i="4"/>
  <c r="E8" i="4"/>
  <c r="E9" i="4"/>
  <c r="E14" i="4"/>
  <c r="E10" i="4"/>
  <c r="E15" i="4"/>
  <c r="E16" i="4"/>
  <c r="E22" i="4"/>
  <c r="E11" i="4"/>
  <c r="E21" i="4"/>
  <c r="E7" i="4"/>
  <c r="E23" i="4"/>
  <c r="E19" i="4"/>
  <c r="E17" i="4"/>
  <c r="E6" i="4"/>
  <c r="E12" i="4"/>
  <c r="E20" i="4"/>
  <c r="E13" i="4"/>
  <c r="E18" i="5"/>
  <c r="E12" i="5"/>
  <c r="E7" i="5"/>
  <c r="E15" i="5"/>
  <c r="E21" i="5"/>
  <c r="E16" i="5"/>
  <c r="E10" i="5"/>
  <c r="E23" i="5"/>
  <c r="E22" i="5"/>
  <c r="E14" i="5"/>
  <c r="E17" i="5"/>
  <c r="E13" i="5"/>
  <c r="E19" i="5"/>
  <c r="E20" i="5"/>
  <c r="E9" i="5"/>
  <c r="E11" i="5"/>
  <c r="E5" i="5"/>
  <c r="E6" i="5"/>
  <c r="E8" i="5"/>
  <c r="F6" i="2"/>
  <c r="F10" i="2"/>
  <c r="F9" i="2"/>
  <c r="F18" i="2"/>
  <c r="F11" i="2"/>
  <c r="F20" i="2"/>
  <c r="F12" i="2"/>
  <c r="F13" i="2"/>
  <c r="F14" i="2"/>
  <c r="F16" i="2"/>
  <c r="F15" i="2"/>
  <c r="F19" i="2"/>
  <c r="F21" i="2"/>
  <c r="F17" i="2"/>
  <c r="F7" i="2"/>
  <c r="F8" i="2"/>
  <c r="G7" i="6"/>
  <c r="P12" i="3"/>
  <c r="G28" i="1"/>
  <c r="G28" i="10" s="1"/>
  <c r="G29" i="1"/>
  <c r="G29" i="10" s="1"/>
  <c r="G27" i="1"/>
  <c r="G27" i="10" s="1"/>
  <c r="AD15" i="3"/>
  <c r="AF14" i="3"/>
  <c r="R14" i="3"/>
  <c r="AF16" i="3"/>
  <c r="R16" i="3"/>
  <c r="AD14" i="3"/>
  <c r="AD16" i="3"/>
  <c r="AF17" i="3"/>
  <c r="AF13" i="3"/>
  <c r="Z10" i="3"/>
  <c r="P9" i="3"/>
  <c r="N9" i="3" s="1"/>
  <c r="D6" i="7"/>
  <c r="D10" i="7"/>
  <c r="Q14" i="3"/>
  <c r="AE16" i="3"/>
  <c r="AE12" i="3"/>
  <c r="AC17" i="3"/>
  <c r="AC15" i="3"/>
  <c r="AF15" i="3"/>
  <c r="R12" i="3"/>
  <c r="P10" i="3"/>
  <c r="N10" i="3" s="1"/>
  <c r="AC12" i="3"/>
  <c r="R17" i="3"/>
  <c r="R15" i="3"/>
  <c r="R13" i="3"/>
  <c r="Q12" i="3"/>
  <c r="Q16" i="3"/>
  <c r="AD13" i="3"/>
  <c r="AC13" i="3"/>
  <c r="AE17" i="3"/>
  <c r="Q17" i="3"/>
  <c r="Q15" i="3"/>
  <c r="G30" i="1"/>
  <c r="G30" i="10" s="1"/>
  <c r="AE13" i="3"/>
  <c r="AE15" i="3"/>
  <c r="AC16" i="3"/>
  <c r="AC14" i="3"/>
  <c r="Z9" i="3"/>
  <c r="P11" i="3"/>
  <c r="N11" i="3" s="1"/>
  <c r="AE14" i="3"/>
  <c r="Q13" i="3"/>
  <c r="Y11" i="3"/>
  <c r="D7" i="7"/>
  <c r="D9" i="7"/>
  <c r="D5" i="7"/>
  <c r="S9" i="3"/>
  <c r="U9" i="3" s="1"/>
  <c r="V9" i="3" s="1"/>
  <c r="S10" i="3"/>
  <c r="U10" i="3" s="1"/>
  <c r="V10" i="3" s="1"/>
  <c r="G26" i="1"/>
  <c r="Q18" i="3"/>
  <c r="Y18" i="3"/>
  <c r="T17" i="3"/>
  <c r="AF18" i="3"/>
  <c r="S11" i="3"/>
  <c r="U11" i="3" s="1"/>
  <c r="V11" i="3" s="1"/>
  <c r="R18" i="3"/>
  <c r="AC18" i="3"/>
  <c r="AE18" i="3"/>
  <c r="D3" i="3"/>
  <c r="Z17" i="3"/>
  <c r="AD18" i="3"/>
  <c r="P18" i="3"/>
  <c r="D7" i="6" l="1"/>
  <c r="C2" i="6" s="1"/>
  <c r="M15" i="1"/>
  <c r="G26" i="10"/>
  <c r="M15" i="10" s="1"/>
  <c r="H28" i="1"/>
  <c r="H28" i="10" s="1"/>
  <c r="I28" i="10" s="1"/>
  <c r="S14" i="3"/>
  <c r="U14" i="3" s="1"/>
  <c r="V14" i="3" s="1"/>
  <c r="N14" i="3" s="1"/>
  <c r="S16" i="3"/>
  <c r="U16" i="3" s="1"/>
  <c r="V16" i="3" s="1"/>
  <c r="N16" i="3" s="1"/>
  <c r="S13" i="3"/>
  <c r="U13" i="3" s="1"/>
  <c r="V13" i="3" s="1"/>
  <c r="N13" i="3" s="1"/>
  <c r="S17" i="3"/>
  <c r="U17" i="3" s="1"/>
  <c r="V17" i="3" s="1"/>
  <c r="N17" i="3" s="1"/>
  <c r="S12" i="3"/>
  <c r="U12" i="3" s="1"/>
  <c r="V12" i="3" s="1"/>
  <c r="N12" i="3" s="1"/>
  <c r="S15" i="3"/>
  <c r="U15" i="3" s="1"/>
  <c r="V15" i="3" s="1"/>
  <c r="N15" i="3" s="1"/>
  <c r="D4" i="3"/>
  <c r="D5" i="3"/>
  <c r="D2" i="3"/>
  <c r="C2" i="4"/>
  <c r="C2" i="7"/>
  <c r="C2" i="5"/>
  <c r="C2" i="2"/>
  <c r="S18" i="3"/>
  <c r="U18" i="3" s="1"/>
  <c r="V18" i="3" s="1"/>
  <c r="N18" i="3" s="1"/>
  <c r="C3" i="6" l="1"/>
  <c r="H27" i="1" s="1"/>
  <c r="I27" i="1" s="1"/>
  <c r="I28" i="1"/>
  <c r="H30" i="1"/>
  <c r="H29" i="1"/>
  <c r="D27" i="1"/>
  <c r="D27" i="10" s="1"/>
  <c r="D29" i="1"/>
  <c r="D29" i="10" s="1"/>
  <c r="D26" i="1"/>
  <c r="D26" i="10" s="1"/>
  <c r="D25" i="1"/>
  <c r="D25" i="10" s="1"/>
  <c r="H26" i="1"/>
  <c r="H26" i="10" s="1"/>
  <c r="I26" i="10" s="1"/>
  <c r="D6" i="3"/>
  <c r="H27" i="10" l="1"/>
  <c r="I27" i="10" s="1"/>
  <c r="C4" i="6"/>
  <c r="D30" i="1" s="1"/>
  <c r="D30" i="10" s="1"/>
  <c r="I30" i="1"/>
  <c r="H30" i="10"/>
  <c r="I30" i="10" s="1"/>
  <c r="I29" i="1"/>
  <c r="H29" i="10"/>
  <c r="I29" i="10" s="1"/>
  <c r="D28" i="1"/>
  <c r="L36" i="1"/>
  <c r="D35" i="1" s="1"/>
  <c r="M16" i="1" l="1"/>
  <c r="M17" i="1" s="1"/>
  <c r="M19" i="1" s="1"/>
  <c r="M21" i="1" s="1"/>
  <c r="E21" i="1" s="1"/>
  <c r="D35" i="10"/>
  <c r="M16" i="10" s="1"/>
  <c r="M17" i="10" s="1"/>
  <c r="D31" i="1"/>
  <c r="D31" i="10" s="1"/>
  <c r="D28" i="10"/>
  <c r="I26" i="1"/>
  <c r="D36" i="1"/>
  <c r="E20" i="1" l="1"/>
  <c r="D36" i="10"/>
  <c r="E20" i="10" s="1"/>
</calcChain>
</file>

<file path=xl/sharedStrings.xml><?xml version="1.0" encoding="utf-8"?>
<sst xmlns="http://schemas.openxmlformats.org/spreadsheetml/2006/main" count="375" uniqueCount="167">
  <si>
    <t>Device</t>
  </si>
  <si>
    <t>Family</t>
  </si>
  <si>
    <t>Trion</t>
  </si>
  <si>
    <t>Package</t>
  </si>
  <si>
    <t>Grade</t>
  </si>
  <si>
    <t>Commercial</t>
  </si>
  <si>
    <t>Condition</t>
  </si>
  <si>
    <t>Typical</t>
  </si>
  <si>
    <t>Voltage Variation</t>
  </si>
  <si>
    <t>Nominal</t>
  </si>
  <si>
    <t>Static Current (mA)</t>
  </si>
  <si>
    <t>Thermal Profile</t>
  </si>
  <si>
    <t>Ambient Temperature (°C)</t>
  </si>
  <si>
    <t>Airflow</t>
  </si>
  <si>
    <t>leakage power @ max temp</t>
  </si>
  <si>
    <t>Board Thermal Model</t>
  </si>
  <si>
    <t>JEDEC (2s2p)</t>
  </si>
  <si>
    <t>DC power</t>
  </si>
  <si>
    <t>Effective Theta-JA  (°C/W)</t>
  </si>
  <si>
    <t>Total Pstatic (mW)</t>
  </si>
  <si>
    <t>Junction Temperature (°C)</t>
  </si>
  <si>
    <t>Maximum ambient temperature</t>
  </si>
  <si>
    <t>Total Power (mW)</t>
  </si>
  <si>
    <t>Theta JA @max temp</t>
  </si>
  <si>
    <t>Block Power Summary</t>
  </si>
  <si>
    <t>Power Supply Summary</t>
  </si>
  <si>
    <t>Maximum allow Ta</t>
  </si>
  <si>
    <t xml:space="preserve">Resource </t>
  </si>
  <si>
    <t>Power per Block (mW)</t>
  </si>
  <si>
    <t xml:space="preserve">Source </t>
  </si>
  <si>
    <t>Voltage (V)</t>
  </si>
  <si>
    <t>Power per supply (mW)</t>
  </si>
  <si>
    <t>Current per supply (mA)</t>
  </si>
  <si>
    <t>Logic</t>
  </si>
  <si>
    <t>Memory</t>
  </si>
  <si>
    <t>VCC</t>
  </si>
  <si>
    <t>Multiplier</t>
  </si>
  <si>
    <t>VCCA</t>
  </si>
  <si>
    <t>IO</t>
  </si>
  <si>
    <t xml:space="preserve">VCCIO </t>
  </si>
  <si>
    <t>Clock</t>
  </si>
  <si>
    <t>PLL</t>
  </si>
  <si>
    <t>Dynamic Power (mW)</t>
  </si>
  <si>
    <t>Static Power (mW)</t>
  </si>
  <si>
    <t xml:space="preserve">Industrial </t>
  </si>
  <si>
    <t>Maximum</t>
  </si>
  <si>
    <t>LOGIC POWER</t>
  </si>
  <si>
    <t>Module Name</t>
  </si>
  <si>
    <t>Clock Frequency (MHz)</t>
  </si>
  <si>
    <t># LUTs</t>
  </si>
  <si>
    <t># FFs</t>
  </si>
  <si>
    <t>AF</t>
  </si>
  <si>
    <t>Power (mW)</t>
  </si>
  <si>
    <t>MEMORY POWER</t>
  </si>
  <si>
    <t># Memory Blocks</t>
  </si>
  <si>
    <t>MULTIPLIER POWER</t>
  </si>
  <si>
    <t># Multiplier Blocks</t>
  </si>
  <si>
    <t>CLOCK POWER</t>
  </si>
  <si>
    <t>Domain</t>
  </si>
  <si>
    <t>Total Fanout</t>
  </si>
  <si>
    <t>IO POWER</t>
  </si>
  <si>
    <t>VCCIO</t>
  </si>
  <si>
    <t>Total VCCIO</t>
  </si>
  <si>
    <t xml:space="preserve">Dynamic </t>
  </si>
  <si>
    <t>Dynamic</t>
  </si>
  <si>
    <t>Static</t>
  </si>
  <si>
    <t>Total</t>
  </si>
  <si>
    <t>SE</t>
  </si>
  <si>
    <t>I/O Standard (V)</t>
  </si>
  <si>
    <t>Current Strength (mA)</t>
  </si>
  <si>
    <r>
      <t>V</t>
    </r>
    <r>
      <rPr>
        <b/>
        <sz val="8"/>
        <color theme="1"/>
        <rFont val="Calibri"/>
        <family val="2"/>
        <scheme val="minor"/>
      </rPr>
      <t>OD</t>
    </r>
    <r>
      <rPr>
        <b/>
        <sz val="11"/>
        <color theme="1"/>
        <rFont val="Calibri"/>
        <family val="2"/>
        <scheme val="minor"/>
      </rPr>
      <t xml:space="preserve"> Setting</t>
    </r>
  </si>
  <si>
    <t>Drive Setting</t>
  </si>
  <si>
    <t># Input Pins</t>
  </si>
  <si>
    <t># Output Pins</t>
  </si>
  <si>
    <t># Bidirectional Pins</t>
  </si>
  <si>
    <t>Data Rate</t>
  </si>
  <si>
    <t>Load(pF)</t>
  </si>
  <si>
    <t>Normal GPIO</t>
  </si>
  <si>
    <t>LVDS TX</t>
  </si>
  <si>
    <t>LVDS RX</t>
  </si>
  <si>
    <t xml:space="preserve">LVDS </t>
  </si>
  <si>
    <t>3.3V LVDS</t>
  </si>
  <si>
    <t>DDR</t>
  </si>
  <si>
    <t>SDR</t>
  </si>
  <si>
    <t>1.8V LVCMOS</t>
  </si>
  <si>
    <t>2.5V LVCMOS</t>
  </si>
  <si>
    <t>3.3V LVCMOS</t>
  </si>
  <si>
    <t>3.3V LVTTL</t>
  </si>
  <si>
    <t>3.3V LVDS as GPIO</t>
  </si>
  <si>
    <t>PLL POWER</t>
  </si>
  <si>
    <t>VCC+VCCA</t>
  </si>
  <si>
    <t xml:space="preserve">Static </t>
  </si>
  <si>
    <t>Output Clock Frequency 
(MHz)</t>
  </si>
  <si>
    <t>VCO Frequency 
(MHz)</t>
  </si>
  <si>
    <t>Revision History:</t>
  </si>
  <si>
    <t xml:space="preserve">Version </t>
  </si>
  <si>
    <t>Remarks</t>
  </si>
  <si>
    <t>Static + Dynamic</t>
  </si>
  <si>
    <t xml:space="preserve">Total </t>
  </si>
  <si>
    <t>LVDS</t>
  </si>
  <si>
    <t>T8</t>
  </si>
  <si>
    <t>Q144</t>
  </si>
  <si>
    <t>F81</t>
  </si>
  <si>
    <t>F49</t>
  </si>
  <si>
    <t>T4</t>
  </si>
  <si>
    <t>T8Q144</t>
  </si>
  <si>
    <t>T4_T8F49/F81</t>
  </si>
  <si>
    <t>jump from CRESET LOW to user mode (Q144)</t>
  </si>
  <si>
    <t>Minimum</t>
  </si>
  <si>
    <t>For T8Q144 ONLY:</t>
  </si>
  <si>
    <t>Output Enable</t>
  </si>
  <si>
    <t>Notes:</t>
  </si>
  <si>
    <t>-Only "3.3V LVDS" IO standard is having input pin power estimation. Other IO standards input pin power is not significant</t>
  </si>
  <si>
    <t>Duplicate from T8 v0.7 power estimator. Remove Q144 package selection</t>
  </si>
  <si>
    <t>Efinix Power Estimator</t>
  </si>
  <si>
    <t>Initial release</t>
  </si>
  <si>
    <t>Updated IDDQ</t>
  </si>
  <si>
    <t>PLEASE ANSWER THOSE QUESTIONS THAT DEPEND ON
YOUR DEVICE FEATURES BEFORE RUNNING THE MACRO.</t>
  </si>
  <si>
    <t>Input</t>
  </si>
  <si>
    <t>ENTER YOUR FIXED VALUES FOR THE COMING VARIABLES</t>
  </si>
  <si>
    <t>Max Clk Frequency</t>
  </si>
  <si>
    <t>Step Clk Frequency</t>
  </si>
  <si>
    <t>Speed Grade</t>
  </si>
  <si>
    <t>Max LUTs</t>
  </si>
  <si>
    <t>Step LUTs</t>
  </si>
  <si>
    <t>Max FF</t>
  </si>
  <si>
    <t>Step FF</t>
  </si>
  <si>
    <t>Max Memory Blocks</t>
  </si>
  <si>
    <t>Step Memory Blocks</t>
  </si>
  <si>
    <t>Max Multiplier Blocks</t>
  </si>
  <si>
    <t>Clock Frequency</t>
  </si>
  <si>
    <t>Step Multiplier Blocks</t>
  </si>
  <si>
    <t># of LUTs</t>
  </si>
  <si>
    <t>Max Fanout</t>
  </si>
  <si>
    <t># of FFs</t>
  </si>
  <si>
    <t>Step Fanout</t>
  </si>
  <si>
    <t>Active Filter (AF)</t>
  </si>
  <si>
    <t>Max Output Clk Frequency</t>
  </si>
  <si>
    <t># of Mems</t>
  </si>
  <si>
    <t>Step Output Clk Frequency</t>
  </si>
  <si>
    <t># of Multis</t>
  </si>
  <si>
    <t>Max VCO Frequency</t>
  </si>
  <si>
    <t># of Fanouts</t>
  </si>
  <si>
    <t>Step VCO Frequency</t>
  </si>
  <si>
    <t>Output Clock Frequency</t>
  </si>
  <si>
    <t>VCO Frequency</t>
  </si>
  <si>
    <t>IO Standard</t>
  </si>
  <si>
    <t>Output Differential, VOD</t>
  </si>
  <si>
    <t>Max Output Pins</t>
  </si>
  <si>
    <t>Drive</t>
  </si>
  <si>
    <t>Step Output Pins</t>
  </si>
  <si>
    <t>Max Bidirectional Pins</t>
  </si>
  <si>
    <t># of Output pins</t>
  </si>
  <si>
    <t>Step Bidirectional Pins</t>
  </si>
  <si>
    <t># of Bidirectional pins</t>
  </si>
  <si>
    <t>Max Load</t>
  </si>
  <si>
    <t>Data Rate in IO sheet</t>
  </si>
  <si>
    <t>Step Load</t>
  </si>
  <si>
    <t>Load</t>
  </si>
  <si>
    <t>Max Output Enable</t>
  </si>
  <si>
    <t>Percentage of Output Enable</t>
  </si>
  <si>
    <t>Step Output Enable</t>
  </si>
  <si>
    <t># of Maximum Combinations</t>
  </si>
  <si>
    <t>I2</t>
  </si>
  <si>
    <t>C2</t>
  </si>
  <si>
    <t>Ambient Temperature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</si>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</sst>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&quot;mW&quot;"/>
    <numFmt numFmtId="165" formatCode="0.0"/>
    <numFmt numFmtId="166" formatCode="0.00&quot;V&quot;"/>
    <numFmt numFmtId="167" formatCode="0.0&quot;m/s&quot;"/>
    <numFmt numFmtId="168" formatCode="0.0&quot;V LVCMOS&quot;"/>
    <numFmt numFmtId="169" formatCode="0.0&quot;V LVTTL&quot;"/>
    <numFmt numFmtId="170" formatCode="0.0&quot;V LVDS&quot;"/>
    <numFmt numFmtId="171" formatCode="0.0&quot;%&quot;"/>
    <numFmt numFmtId="172" formatCode="0.000"/>
    <numFmt numFmtId="173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.5"/>
      <color rgb="FFFFFFFF"/>
      <name val="Calibri"/>
      <family val="2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69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Protection="1"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66" fontId="7" fillId="4" borderId="1" xfId="0" applyNumberFormat="1" applyFont="1" applyFill="1" applyBorder="1" applyAlignment="1" applyProtection="1">
      <alignment horizontal="center" vertical="center"/>
      <protection hidden="1"/>
    </xf>
    <xf numFmtId="164" fontId="7" fillId="4" borderId="1" xfId="0" applyNumberFormat="1" applyFont="1" applyFill="1" applyBorder="1" applyAlignment="1" applyProtection="1">
      <alignment horizont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top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2" fontId="0" fillId="0" borderId="7" xfId="0" applyNumberFormat="1" applyBorder="1" applyAlignment="1" applyProtection="1">
      <alignment horizontal="center"/>
      <protection hidden="1"/>
    </xf>
    <xf numFmtId="164" fontId="7" fillId="4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 applyProtection="1">
      <alignment horizontal="center" vertical="center"/>
      <protection hidden="1"/>
    </xf>
    <xf numFmtId="0" fontId="2" fillId="0" borderId="9" xfId="0" applyFont="1" applyBorder="1" applyAlignment="1" applyProtection="1">
      <alignment horizontal="center" vertical="center"/>
      <protection hidden="1"/>
    </xf>
    <xf numFmtId="0" fontId="2" fillId="0" borderId="10" xfId="0" applyFont="1" applyBorder="1" applyAlignment="1" applyProtection="1">
      <alignment horizontal="center" vertic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167" fontId="0" fillId="0" borderId="0" xfId="0" applyNumberFormat="1" applyProtection="1">
      <protection hidden="1"/>
    </xf>
    <xf numFmtId="168" fontId="0" fillId="0" borderId="0" xfId="0" applyNumberFormat="1" applyProtection="1">
      <protection hidden="1"/>
    </xf>
    <xf numFmtId="169" fontId="0" fillId="0" borderId="0" xfId="0" applyNumberFormat="1" applyProtection="1">
      <protection hidden="1"/>
    </xf>
    <xf numFmtId="170" fontId="0" fillId="0" borderId="0" xfId="0" applyNumberFormat="1" applyProtection="1">
      <protection hidden="1"/>
    </xf>
    <xf numFmtId="0" fontId="4" fillId="0" borderId="0" xfId="0" applyFon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9" fontId="0" fillId="0" borderId="0" xfId="0" applyNumberFormat="1" applyAlignment="1" applyProtection="1">
      <alignment horizontal="center"/>
      <protection hidden="1"/>
    </xf>
    <xf numFmtId="0" fontId="11" fillId="0" borderId="0" xfId="0" applyFont="1" applyAlignment="1">
      <alignment horizontal="center" vertical="center" wrapText="1" readingOrder="1"/>
    </xf>
    <xf numFmtId="0" fontId="12" fillId="0" borderId="0" xfId="0" applyFont="1" applyAlignment="1">
      <alignment horizontal="center" vertical="center" wrapText="1" readingOrder="1"/>
    </xf>
    <xf numFmtId="2" fontId="2" fillId="5" borderId="1" xfId="0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4" fillId="0" borderId="0" xfId="0" applyFont="1" applyAlignment="1" applyProtection="1">
      <alignment horizontal="center"/>
      <protection hidden="1"/>
    </xf>
    <xf numFmtId="10" fontId="13" fillId="0" borderId="0" xfId="0" applyNumberFormat="1" applyFont="1" applyAlignment="1" applyProtection="1">
      <alignment horizontal="center"/>
      <protection hidden="1"/>
    </xf>
    <xf numFmtId="0" fontId="3" fillId="3" borderId="1" xfId="0" applyFont="1" applyFill="1" applyBorder="1" applyProtection="1">
      <protection hidden="1"/>
    </xf>
    <xf numFmtId="0" fontId="2" fillId="5" borderId="1" xfId="0" applyFont="1" applyFill="1" applyBorder="1" applyProtection="1">
      <protection hidden="1"/>
    </xf>
    <xf numFmtId="0" fontId="2" fillId="3" borderId="0" xfId="0" applyFont="1" applyFill="1" applyProtection="1">
      <protection hidden="1"/>
    </xf>
    <xf numFmtId="2" fontId="0" fillId="3" borderId="0" xfId="0" applyNumberFormat="1" applyFill="1" applyAlignment="1" applyProtection="1">
      <alignment horizontal="center"/>
      <protection hidden="1"/>
    </xf>
    <xf numFmtId="0" fontId="2" fillId="0" borderId="0" xfId="0" applyFont="1" applyProtection="1">
      <protection hidden="1"/>
    </xf>
    <xf numFmtId="2" fontId="2" fillId="0" borderId="0" xfId="0" applyNumberFormat="1" applyFont="1" applyAlignment="1" applyProtection="1">
      <alignment horizontal="left"/>
      <protection hidden="1"/>
    </xf>
    <xf numFmtId="0" fontId="2" fillId="3" borderId="1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/>
      <protection hidden="1"/>
    </xf>
    <xf numFmtId="2" fontId="0" fillId="3" borderId="1" xfId="0" applyNumberForma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left"/>
      <protection hidden="1"/>
    </xf>
    <xf numFmtId="0" fontId="10" fillId="3" borderId="1" xfId="0" applyFont="1" applyFill="1" applyBorder="1" applyProtection="1">
      <protection hidden="1"/>
    </xf>
    <xf numFmtId="2" fontId="10" fillId="7" borderId="1" xfId="0" applyNumberFormat="1" applyFont="1" applyFill="1" applyBorder="1" applyAlignment="1" applyProtection="1">
      <alignment horizontal="center"/>
      <protection hidden="1"/>
    </xf>
    <xf numFmtId="0" fontId="9" fillId="3" borderId="1" xfId="0" applyFont="1" applyFill="1" applyBorder="1" applyProtection="1">
      <protection hidden="1"/>
    </xf>
    <xf numFmtId="0" fontId="6" fillId="0" borderId="0" xfId="0" applyFont="1" applyProtection="1">
      <protection hidden="1"/>
    </xf>
    <xf numFmtId="0" fontId="4" fillId="0" borderId="0" xfId="0" applyFont="1" applyAlignment="1" applyProtection="1">
      <alignment horizontal="center" vertical="center"/>
      <protection hidden="1"/>
    </xf>
    <xf numFmtId="164" fontId="7" fillId="0" borderId="0" xfId="0" applyNumberFormat="1" applyFont="1" applyAlignment="1" applyProtection="1">
      <alignment horizontal="center" vertical="center"/>
      <protection hidden="1"/>
    </xf>
    <xf numFmtId="164" fontId="7" fillId="0" borderId="0" xfId="0" applyNumberFormat="1" applyFont="1" applyAlignment="1" applyProtection="1">
      <alignment horizontal="center"/>
      <protection hidden="1"/>
    </xf>
    <xf numFmtId="0" fontId="0" fillId="0" borderId="2" xfId="0" applyBorder="1"/>
    <xf numFmtId="0" fontId="0" fillId="0" borderId="3" xfId="0" applyBorder="1"/>
    <xf numFmtId="166" fontId="0" fillId="0" borderId="0" xfId="0" applyNumberForma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Alignment="1">
      <alignment horizontal="center"/>
    </xf>
    <xf numFmtId="2" fontId="0" fillId="5" borderId="1" xfId="0" applyNumberForma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left"/>
      <protection hidden="1"/>
    </xf>
    <xf numFmtId="2" fontId="2" fillId="0" borderId="0" xfId="0" applyNumberFormat="1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 wrapText="1"/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49" fontId="0" fillId="6" borderId="12" xfId="0" applyNumberFormat="1" applyFill="1" applyBorder="1" applyAlignment="1" applyProtection="1">
      <alignment horizontal="center"/>
      <protection locked="0" hidden="1"/>
    </xf>
    <xf numFmtId="0" fontId="0" fillId="0" borderId="18" xfId="0" applyBorder="1" applyAlignment="1" applyProtection="1">
      <alignment horizontal="center"/>
      <protection locked="0" hidden="1"/>
    </xf>
    <xf numFmtId="171" fontId="0" fillId="0" borderId="7" xfId="0" applyNumberFormat="1" applyBorder="1" applyAlignment="1" applyProtection="1">
      <alignment horizontal="center"/>
      <protection locked="0" hidden="1"/>
    </xf>
    <xf numFmtId="171" fontId="0" fillId="0" borderId="12" xfId="1" applyNumberFormat="1" applyFont="1" applyBorder="1" applyAlignment="1" applyProtection="1">
      <alignment horizontal="center"/>
      <protection locked="0" hidden="1"/>
    </xf>
    <xf numFmtId="0" fontId="0" fillId="6" borderId="12" xfId="0" applyFill="1" applyBorder="1" applyAlignment="1" applyProtection="1">
      <alignment horizontal="center"/>
      <protection locked="0" hidden="1"/>
    </xf>
    <xf numFmtId="0" fontId="0" fillId="0" borderId="8" xfId="0" applyBorder="1" applyAlignment="1" applyProtection="1">
      <alignment horizontal="center"/>
      <protection locked="0" hidden="1"/>
    </xf>
    <xf numFmtId="0" fontId="0" fillId="0" borderId="12" xfId="0" applyBorder="1" applyAlignment="1" applyProtection="1">
      <alignment horizontal="center"/>
      <protection locked="0" hidden="1"/>
    </xf>
    <xf numFmtId="0" fontId="0" fillId="6" borderId="7" xfId="0" applyFill="1" applyBorder="1" applyAlignment="1" applyProtection="1">
      <alignment horizontal="center"/>
      <protection locked="0" hidden="1"/>
    </xf>
    <xf numFmtId="0" fontId="0" fillId="0" borderId="9" xfId="0" applyBorder="1" applyAlignment="1" applyProtection="1">
      <alignment horizontal="center"/>
      <protection locked="0" hidden="1"/>
    </xf>
    <xf numFmtId="0" fontId="2" fillId="0" borderId="19" xfId="0" applyFon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72" fontId="10" fillId="7" borderId="1" xfId="0" applyNumberFormat="1" applyFont="1" applyFill="1" applyBorder="1" applyAlignment="1" applyProtection="1">
      <alignment horizontal="center"/>
      <protection hidden="1"/>
    </xf>
    <xf numFmtId="172" fontId="4" fillId="7" borderId="1" xfId="0" applyNumberFormat="1" applyFont="1" applyFill="1" applyBorder="1" applyAlignment="1" applyProtection="1">
      <alignment horizontal="center"/>
      <protection hidden="1"/>
    </xf>
    <xf numFmtId="0" fontId="7" fillId="4" borderId="1" xfId="0" applyFon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/>
      <protection locked="0" hidden="1"/>
    </xf>
    <xf numFmtId="0" fontId="0" fillId="0" borderId="0" xfId="0" quotePrefix="1" applyProtection="1">
      <protection hidden="1"/>
    </xf>
    <xf numFmtId="0" fontId="7" fillId="5" borderId="1" xfId="0" applyFont="1" applyFill="1" applyBorder="1" applyAlignment="1" applyProtection="1">
      <alignment horizontal="center" vertical="center"/>
      <protection hidden="1"/>
    </xf>
    <xf numFmtId="166" fontId="7" fillId="5" borderId="1" xfId="0" applyNumberFormat="1" applyFont="1" applyFill="1" applyBorder="1" applyAlignment="1" applyProtection="1">
      <alignment horizontal="center" vertical="center"/>
      <protection hidden="1"/>
    </xf>
    <xf numFmtId="164" fontId="7" fillId="5" borderId="1" xfId="0" applyNumberFormat="1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 vertical="top"/>
      <protection hidden="1"/>
    </xf>
    <xf numFmtId="0" fontId="2" fillId="5" borderId="1" xfId="0" applyFont="1" applyFill="1" applyBorder="1" applyAlignment="1" applyProtection="1">
      <alignment horizontal="center" vertical="top" wrapText="1"/>
      <protection hidden="1"/>
    </xf>
    <xf numFmtId="0" fontId="0" fillId="5" borderId="1" xfId="0" applyFill="1" applyBorder="1" applyProtection="1">
      <protection hidden="1"/>
    </xf>
    <xf numFmtId="164" fontId="7" fillId="5" borderId="1" xfId="0" applyNumberFormat="1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2" fillId="5" borderId="11" xfId="0" applyFont="1" applyFill="1" applyBorder="1" applyAlignment="1" applyProtection="1">
      <alignment horizontal="center" vertical="center"/>
      <protection hidden="1"/>
    </xf>
    <xf numFmtId="0" fontId="2" fillId="5" borderId="7" xfId="0" applyFont="1" applyFill="1" applyBorder="1" applyAlignment="1" applyProtection="1">
      <alignment horizontal="center" vertical="center"/>
      <protection hidden="1"/>
    </xf>
    <xf numFmtId="0" fontId="2" fillId="5" borderId="9" xfId="0" applyFont="1" applyFill="1" applyBorder="1" applyAlignment="1" applyProtection="1">
      <alignment horizontal="center" vertical="center"/>
      <protection hidden="1"/>
    </xf>
    <xf numFmtId="0" fontId="2" fillId="5" borderId="10" xfId="0" applyFont="1" applyFill="1" applyBorder="1" applyAlignment="1" applyProtection="1">
      <alignment horizontal="center" vertical="center"/>
      <protection hidden="1"/>
    </xf>
    <xf numFmtId="2" fontId="0" fillId="5" borderId="7" xfId="0" applyNumberFormat="1" applyFill="1" applyBorder="1" applyAlignment="1" applyProtection="1">
      <alignment horizontal="center"/>
      <protection hidden="1"/>
    </xf>
    <xf numFmtId="2" fontId="0" fillId="5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8" xfId="0" applyBorder="1"/>
    <xf numFmtId="0" fontId="0" fillId="4" borderId="1" xfId="0" applyFill="1" applyBorder="1" applyProtection="1">
      <protection locked="0" hidden="1"/>
    </xf>
    <xf numFmtId="0" fontId="0" fillId="0" borderId="1" xfId="0" applyBorder="1" applyAlignment="1" applyProtection="1">
      <alignment horizontal="right"/>
      <protection locked="0" hidden="1"/>
    </xf>
    <xf numFmtId="0" fontId="0" fillId="0" borderId="1" xfId="0" applyBorder="1" applyProtection="1">
      <protection locked="0" hidden="1"/>
    </xf>
    <xf numFmtId="0" fontId="0" fillId="0" borderId="1" xfId="0" applyBorder="1"/>
    <xf numFmtId="0" fontId="0" fillId="0" borderId="1" xfId="0" applyBorder="1" applyAlignment="1" applyProtection="1">
      <alignment horizontal="right" vertical="center"/>
      <protection locked="0"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right"/>
      <protection locked="0" hidden="1"/>
    </xf>
    <xf numFmtId="10" fontId="0" fillId="4" borderId="1" xfId="0" applyNumberFormat="1" applyFill="1" applyBorder="1" applyProtection="1">
      <protection locked="0" hidden="1"/>
    </xf>
    <xf numFmtId="10" fontId="0" fillId="0" borderId="1" xfId="0" applyNumberFormat="1" applyBorder="1" applyProtection="1">
      <protection locked="0" hidden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hidden="1"/>
    </xf>
    <xf numFmtId="0" fontId="0" fillId="0" borderId="1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2" fillId="0" borderId="23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10" xfId="0" applyBorder="1"/>
    <xf numFmtId="0" fontId="0" fillId="0" borderId="10" xfId="0" applyBorder="1" applyAlignment="1" applyProtection="1">
      <alignment horizontal="right"/>
      <protection locked="0" hidden="1"/>
    </xf>
    <xf numFmtId="173" fontId="0" fillId="0" borderId="0" xfId="1" applyNumberFormat="1" applyFont="1" applyBorder="1" applyAlignment="1" applyProtection="1">
      <alignment horizontal="right"/>
      <protection locked="0" hidden="1"/>
    </xf>
    <xf numFmtId="0" fontId="0" fillId="0" borderId="22" xfId="0" applyBorder="1"/>
    <xf numFmtId="173" fontId="0" fillId="0" borderId="22" xfId="1" applyNumberFormat="1" applyFont="1" applyBorder="1" applyAlignment="1" applyProtection="1">
      <alignment horizontal="right"/>
      <protection locked="0" hidden="1"/>
    </xf>
    <xf numFmtId="10" fontId="0" fillId="0" borderId="0" xfId="0" applyNumberFormat="1" applyProtection="1">
      <protection locked="0" hidden="1"/>
    </xf>
    <xf numFmtId="10" fontId="0" fillId="0" borderId="1" xfId="1" applyNumberFormat="1" applyFont="1" applyBorder="1" applyProtection="1">
      <protection locked="0" hidden="1"/>
    </xf>
    <xf numFmtId="10" fontId="0" fillId="0" borderId="1" xfId="1" applyNumberFormat="1" applyFont="1" applyBorder="1" applyAlignment="1" applyProtection="1">
      <alignment horizontal="right"/>
      <protection locked="0" hidden="1"/>
    </xf>
    <xf numFmtId="10" fontId="0" fillId="0" borderId="1" xfId="1" applyNumberFormat="1" applyFont="1" applyBorder="1" applyAlignment="1" applyProtection="1">
      <alignment horizontal="center" vertical="center"/>
      <protection locked="0" hidden="1"/>
    </xf>
    <xf numFmtId="10" fontId="0" fillId="0" borderId="1" xfId="1" applyNumberFormat="1" applyFont="1" applyBorder="1" applyAlignment="1" applyProtection="1">
      <alignment horizontal="center"/>
      <protection locked="0" hidden="1"/>
    </xf>
    <xf numFmtId="10" fontId="0" fillId="0" borderId="7" xfId="0" applyNumberFormat="1" applyBorder="1" applyAlignment="1" applyProtection="1">
      <alignment horizontal="center"/>
      <protection locked="0" hidden="1"/>
    </xf>
    <xf numFmtId="10" fontId="0" fillId="0" borderId="7" xfId="1" applyNumberFormat="1" applyFont="1" applyBorder="1" applyAlignment="1" applyProtection="1">
      <alignment horizontal="center"/>
      <protection locked="0" hidden="1"/>
    </xf>
    <xf numFmtId="0" fontId="2" fillId="0" borderId="0" xfId="0" applyFont="1"/>
    <xf numFmtId="0" fontId="0" fillId="0" borderId="24" xfId="0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15" fontId="0" fillId="0" borderId="1" xfId="0" applyNumberFormat="1" applyBorder="1" applyAlignment="1" applyProtection="1">
      <alignment horizontal="center"/>
      <protection hidden="1"/>
    </xf>
    <xf numFmtId="15" fontId="0" fillId="0" borderId="1" xfId="0" applyNumberFormat="1" applyBorder="1" applyAlignment="1" applyProtection="1">
      <alignment horizontal="center" vertical="center"/>
      <protection hidden="1"/>
    </xf>
    <xf numFmtId="0" fontId="2" fillId="0" borderId="25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locked="0" hidden="1"/>
    </xf>
    <xf numFmtId="2" fontId="0" fillId="5" borderId="1" xfId="0" applyNumberFormat="1" applyFill="1" applyBorder="1" applyAlignment="1" applyProtection="1">
      <alignment horizontal="center"/>
      <protection hidden="1"/>
    </xf>
    <xf numFmtId="1" fontId="0" fillId="5" borderId="1" xfId="0" applyNumberFormat="1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center"/>
      <protection hidden="1"/>
    </xf>
    <xf numFmtId="0" fontId="2" fillId="5" borderId="1" xfId="0" applyFont="1" applyFill="1" applyBorder="1" applyAlignment="1" applyProtection="1">
      <alignment horizontal="left" vertical="center"/>
      <protection hidden="1"/>
    </xf>
    <xf numFmtId="167" fontId="0" fillId="0" borderId="1" xfId="0" applyNumberFormat="1" applyBorder="1" applyAlignment="1" applyProtection="1">
      <alignment horizontal="center"/>
      <protection locked="0" hidden="1"/>
    </xf>
    <xf numFmtId="0" fontId="5" fillId="2" borderId="14" xfId="0" applyFont="1" applyFill="1" applyBorder="1" applyAlignment="1" applyProtection="1">
      <alignment horizontal="center"/>
      <protection hidden="1"/>
    </xf>
    <xf numFmtId="0" fontId="5" fillId="2" borderId="15" xfId="0" applyFont="1" applyFill="1" applyBorder="1" applyAlignment="1" applyProtection="1">
      <alignment horizontal="center"/>
      <protection hidden="1"/>
    </xf>
    <xf numFmtId="0" fontId="5" fillId="2" borderId="16" xfId="0" applyFont="1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10" fontId="0" fillId="0" borderId="1" xfId="0" applyNumberFormat="1" applyBorder="1" applyAlignment="1" applyProtection="1">
      <alignment horizontal="center"/>
      <protection locked="0" hidden="1"/>
    </xf>
    <xf numFmtId="2" fontId="0" fillId="0" borderId="1" xfId="0" applyNumberFormat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7" fillId="4" borderId="8" xfId="0" applyFont="1" applyFill="1" applyBorder="1" applyAlignment="1" applyProtection="1">
      <alignment horizontal="center" vertical="center"/>
      <protection hidden="1"/>
    </xf>
    <xf numFmtId="0" fontId="7" fillId="4" borderId="9" xfId="0" applyFont="1" applyFill="1" applyBorder="1" applyAlignment="1" applyProtection="1">
      <alignment horizontal="center" vertical="center"/>
      <protection hidden="1"/>
    </xf>
    <xf numFmtId="0" fontId="4" fillId="4" borderId="13" xfId="0" applyFont="1" applyFill="1" applyBorder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hidden="1"/>
    </xf>
    <xf numFmtId="0" fontId="7" fillId="5" borderId="1" xfId="0" applyFont="1" applyFill="1" applyBorder="1" applyAlignment="1" applyProtection="1">
      <alignment horizontal="center" vertical="center"/>
      <protection hidden="1"/>
    </xf>
    <xf numFmtId="0" fontId="4" fillId="5" borderId="8" xfId="0" applyFont="1" applyFill="1" applyBorder="1" applyAlignment="1" applyProtection="1">
      <alignment horizontal="center" vertical="center"/>
      <protection hidden="1"/>
    </xf>
    <xf numFmtId="0" fontId="4" fillId="5" borderId="20" xfId="0" applyFont="1" applyFill="1" applyBorder="1" applyAlignment="1" applyProtection="1">
      <alignment horizontal="center" vertical="center"/>
      <protection hidden="1"/>
    </xf>
    <xf numFmtId="0" fontId="4" fillId="5" borderId="9" xfId="0" applyFont="1" applyFill="1" applyBorder="1" applyAlignment="1" applyProtection="1">
      <alignment horizontal="center" vertical="center"/>
      <protection hidden="1"/>
    </xf>
    <xf numFmtId="0" fontId="4" fillId="0" borderId="21" xfId="0" applyFont="1" applyBorder="1" applyAlignment="1" applyProtection="1">
      <alignment horizontal="left"/>
      <protection hidden="1"/>
    </xf>
    <xf numFmtId="0" fontId="4" fillId="0" borderId="0" xfId="0" applyFont="1" applyAlignment="1" applyProtection="1">
      <alignment horizontal="left" vertical="center"/>
      <protection hidden="1"/>
    </xf>
  </cellXfs>
  <cellStyles count="2">
    <cellStyle name="Normal" xfId="0" builtinId="0"/>
    <cellStyle name="Percent" xfId="1" builtinId="5"/>
  </cellStyles>
  <dxfs count="63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34998626667073579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38100</xdr:rowOff>
    </xdr:from>
    <xdr:to>
      <xdr:col>2</xdr:col>
      <xdr:colOff>1430838</xdr:colOff>
      <xdr:row>0</xdr:row>
      <xdr:rowOff>379703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23D6C4-98EE-460D-9CBB-B0F3BBF3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" y="38100"/>
          <a:ext cx="1941378" cy="3416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38100</xdr:rowOff>
    </xdr:from>
    <xdr:to>
      <xdr:col>2</xdr:col>
      <xdr:colOff>1427028</xdr:colOff>
      <xdr:row>0</xdr:row>
      <xdr:rowOff>379703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58339A-8492-4B4A-A278-392442665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" y="38100"/>
          <a:ext cx="1941378" cy="3416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1237D-4AD1-4E5D-8E31-E8991FC074C3}">
  <sheetPr codeName="Sheet8"/>
  <dimension ref="B1:AB52"/>
  <sheetViews>
    <sheetView showGridLines="0" showRowColHeaders="0" tabSelected="1" zoomScaleNormal="100" workbookViewId="0"/>
  </sheetViews>
  <sheetFormatPr defaultColWidth="9.109375" defaultRowHeight="14.4" x14ac:dyDescent="0.3"/>
  <cols>
    <col min="1" max="1" width="9.109375" style="1"/>
    <col min="2" max="2" width="7.6640625" style="1" customWidth="1"/>
    <col min="3" max="3" width="35" style="1" bestFit="1" customWidth="1"/>
    <col min="4" max="4" width="35.6640625" style="1" bestFit="1" customWidth="1"/>
    <col min="5" max="5" width="7.109375" style="1" bestFit="1" customWidth="1"/>
    <col min="6" max="6" width="22.33203125" style="1" bestFit="1" customWidth="1"/>
    <col min="7" max="7" width="14" style="1" bestFit="1" customWidth="1"/>
    <col min="8" max="8" width="26.88671875" style="1" bestFit="1" customWidth="1"/>
    <col min="9" max="9" width="27.88671875" style="1" bestFit="1" customWidth="1"/>
    <col min="10" max="10" width="7.33203125" style="1" customWidth="1"/>
    <col min="11" max="11" width="12.44140625" style="1" customWidth="1"/>
    <col min="12" max="12" width="33.6640625" style="1" customWidth="1"/>
    <col min="13" max="14" width="26.6640625" style="1" customWidth="1"/>
    <col min="15" max="15" width="36" style="1" customWidth="1"/>
    <col min="16" max="17" width="9.109375" style="1" customWidth="1"/>
    <col min="18" max="21" width="9.109375" style="1"/>
    <col min="22" max="22" width="24.6640625" style="1" hidden="1" customWidth="1"/>
    <col min="23" max="24" width="8.88671875" style="1" hidden="1" customWidth="1"/>
    <col min="25" max="25" width="24.6640625" style="1" hidden="1" customWidth="1"/>
    <col min="26" max="26" width="12.44140625" style="102" hidden="1" customWidth="1"/>
    <col min="27" max="27" width="9.109375" style="1"/>
    <col min="28" max="28" width="22.6640625" hidden="1" customWidth="1"/>
    <col min="29" max="16384" width="9.109375" style="1"/>
  </cols>
  <sheetData>
    <row r="1" spans="2:28" ht="33" customHeight="1" thickBot="1" x14ac:dyDescent="0.35"/>
    <row r="2" spans="2:28" ht="41.4" thickBot="1" x14ac:dyDescent="0.75">
      <c r="B2" s="150" t="s">
        <v>114</v>
      </c>
      <c r="C2" s="151"/>
      <c r="D2" s="151"/>
      <c r="E2" s="151"/>
      <c r="F2" s="151"/>
      <c r="G2" s="151"/>
      <c r="H2" s="151"/>
      <c r="I2" s="151"/>
      <c r="J2" s="152"/>
      <c r="V2" s="103" t="s">
        <v>117</v>
      </c>
      <c r="W2" s="104" t="s">
        <v>118</v>
      </c>
      <c r="X2"/>
      <c r="Y2" s="103" t="s">
        <v>119</v>
      </c>
      <c r="Z2" s="104" t="s">
        <v>118</v>
      </c>
    </row>
    <row r="3" spans="2:28" x14ac:dyDescent="0.3">
      <c r="B3" s="16"/>
      <c r="J3" s="17"/>
      <c r="V3" s="105" t="s">
        <v>120</v>
      </c>
      <c r="W3" s="106">
        <v>1000</v>
      </c>
      <c r="X3"/>
      <c r="Y3" s="101" t="s">
        <v>3</v>
      </c>
      <c r="Z3" s="107" t="s">
        <v>103</v>
      </c>
      <c r="AB3" s="115" t="s">
        <v>3</v>
      </c>
    </row>
    <row r="4" spans="2:28" x14ac:dyDescent="0.3">
      <c r="B4" s="16"/>
      <c r="D4" s="147" t="s">
        <v>0</v>
      </c>
      <c r="E4" s="147"/>
      <c r="F4" s="147"/>
      <c r="J4" s="17"/>
      <c r="V4" s="105" t="s">
        <v>121</v>
      </c>
      <c r="W4" s="108">
        <v>200</v>
      </c>
      <c r="X4"/>
      <c r="Y4" s="101" t="s">
        <v>122</v>
      </c>
      <c r="Z4" s="107" t="s">
        <v>164</v>
      </c>
      <c r="AB4" s="116" t="s">
        <v>103</v>
      </c>
    </row>
    <row r="5" spans="2:28" x14ac:dyDescent="0.3">
      <c r="B5" s="16"/>
      <c r="D5" s="44" t="s">
        <v>1</v>
      </c>
      <c r="E5" s="153" t="s">
        <v>2</v>
      </c>
      <c r="F5" s="153"/>
      <c r="J5" s="17"/>
      <c r="V5" s="105" t="s">
        <v>123</v>
      </c>
      <c r="W5" s="106">
        <v>3888</v>
      </c>
      <c r="X5"/>
      <c r="Y5" s="109" t="s">
        <v>6</v>
      </c>
      <c r="Z5" s="110" t="s">
        <v>7</v>
      </c>
      <c r="AB5" s="118" t="s">
        <v>102</v>
      </c>
    </row>
    <row r="6" spans="2:28" x14ac:dyDescent="0.3">
      <c r="B6" s="16"/>
      <c r="D6" s="44" t="s">
        <v>0</v>
      </c>
      <c r="E6" s="153" t="s">
        <v>104</v>
      </c>
      <c r="F6" s="153"/>
      <c r="J6" s="17"/>
      <c r="V6" s="105" t="s">
        <v>124</v>
      </c>
      <c r="W6" s="108">
        <v>500</v>
      </c>
      <c r="X6"/>
      <c r="Y6" s="109" t="s">
        <v>8</v>
      </c>
      <c r="Z6" s="107" t="s">
        <v>9</v>
      </c>
      <c r="AB6" s="119"/>
    </row>
    <row r="7" spans="2:28" x14ac:dyDescent="0.3">
      <c r="B7" s="16"/>
      <c r="D7" s="44" t="s">
        <v>3</v>
      </c>
      <c r="E7" s="143" t="s">
        <v>103</v>
      </c>
      <c r="F7" s="143"/>
      <c r="G7" s="51"/>
      <c r="J7" s="17"/>
      <c r="V7" s="105" t="s">
        <v>125</v>
      </c>
      <c r="W7" s="106">
        <v>3888</v>
      </c>
      <c r="X7"/>
      <c r="Y7" s="109" t="s">
        <v>165</v>
      </c>
      <c r="Z7" s="107">
        <v>25</v>
      </c>
      <c r="AB7" s="115" t="s">
        <v>122</v>
      </c>
    </row>
    <row r="8" spans="2:28" x14ac:dyDescent="0.3">
      <c r="B8" s="16"/>
      <c r="D8" s="44" t="s">
        <v>122</v>
      </c>
      <c r="E8" s="143" t="s">
        <v>163</v>
      </c>
      <c r="F8" s="143"/>
      <c r="J8" s="17"/>
      <c r="V8" s="105" t="s">
        <v>126</v>
      </c>
      <c r="W8" s="108">
        <v>500</v>
      </c>
      <c r="X8"/>
      <c r="Y8" s="109" t="s">
        <v>130</v>
      </c>
      <c r="Z8" s="107">
        <v>100</v>
      </c>
      <c r="AB8" s="116" t="s">
        <v>163</v>
      </c>
    </row>
    <row r="9" spans="2:28" x14ac:dyDescent="0.3">
      <c r="B9" s="16"/>
      <c r="D9" s="44" t="s">
        <v>6</v>
      </c>
      <c r="E9" s="143" t="s">
        <v>7</v>
      </c>
      <c r="F9" s="143"/>
      <c r="J9" s="17"/>
      <c r="V9" s="105" t="s">
        <v>127</v>
      </c>
      <c r="W9" s="106">
        <v>15</v>
      </c>
      <c r="X9"/>
      <c r="Y9" s="109" t="s">
        <v>132</v>
      </c>
      <c r="Z9" s="107">
        <v>50</v>
      </c>
      <c r="AB9" s="116" t="s">
        <v>164</v>
      </c>
    </row>
    <row r="10" spans="2:28" x14ac:dyDescent="0.3">
      <c r="B10" s="16"/>
      <c r="D10" s="44" t="s">
        <v>8</v>
      </c>
      <c r="E10" s="154" t="s">
        <v>9</v>
      </c>
      <c r="F10" s="154"/>
      <c r="J10" s="17"/>
      <c r="V10" s="105" t="s">
        <v>128</v>
      </c>
      <c r="W10" s="108">
        <v>2</v>
      </c>
      <c r="X10"/>
      <c r="Y10" s="109" t="s">
        <v>134</v>
      </c>
      <c r="Z10" s="107">
        <v>50</v>
      </c>
    </row>
    <row r="11" spans="2:28" x14ac:dyDescent="0.3">
      <c r="B11" s="16"/>
      <c r="D11" s="38" t="s">
        <v>12</v>
      </c>
      <c r="E11" s="155">
        <v>25</v>
      </c>
      <c r="F11" s="155"/>
      <c r="J11" s="17"/>
      <c r="V11" s="105" t="s">
        <v>129</v>
      </c>
      <c r="W11" s="106">
        <v>4</v>
      </c>
      <c r="X11"/>
      <c r="Y11" s="109" t="s">
        <v>136</v>
      </c>
      <c r="Z11" s="130">
        <v>0.125</v>
      </c>
      <c r="AB11" s="6" t="s">
        <v>6</v>
      </c>
    </row>
    <row r="12" spans="2:28" ht="15" hidden="1" customHeight="1" x14ac:dyDescent="0.3">
      <c r="B12" s="16"/>
      <c r="D12" s="40" t="s">
        <v>10</v>
      </c>
      <c r="E12" s="41">
        <f>IF(E9="Typical",(2.20292*EXP(0.0274*E16)),(5.8833*EXP(0.0283*E16)))</f>
        <v>4.3700906519415215</v>
      </c>
      <c r="F12" s="1" t="s">
        <v>105</v>
      </c>
      <c r="J12" s="17"/>
      <c r="W12" s="111"/>
      <c r="Z12" s="112"/>
      <c r="AB12" s="78" t="s">
        <v>7</v>
      </c>
    </row>
    <row r="13" spans="2:28" hidden="1" x14ac:dyDescent="0.3">
      <c r="B13" s="16"/>
      <c r="D13" s="40" t="s">
        <v>10</v>
      </c>
      <c r="E13" s="41">
        <f>IF(E9="Typical",(0.076273*EXP(0.0239*E11)),(0.14836*EXP(0.0286*E11)))</f>
        <v>0.13863145504004301</v>
      </c>
      <c r="F13" s="1" t="s">
        <v>106</v>
      </c>
      <c r="J13" s="17"/>
      <c r="W13" s="111"/>
      <c r="X13"/>
      <c r="Z13" s="112"/>
      <c r="AB13" s="78" t="s">
        <v>45</v>
      </c>
    </row>
    <row r="14" spans="2:28" x14ac:dyDescent="0.3">
      <c r="B14" s="16"/>
      <c r="D14" s="42"/>
      <c r="J14" s="17"/>
      <c r="V14" s="105" t="s">
        <v>131</v>
      </c>
      <c r="W14" s="108">
        <v>1</v>
      </c>
      <c r="X14"/>
      <c r="Y14" s="109" t="s">
        <v>138</v>
      </c>
      <c r="Z14" s="107">
        <v>10</v>
      </c>
    </row>
    <row r="15" spans="2:28" hidden="1" x14ac:dyDescent="0.3">
      <c r="B15" s="16"/>
      <c r="D15" s="147" t="s">
        <v>11</v>
      </c>
      <c r="E15" s="147"/>
      <c r="F15" s="147"/>
      <c r="G15" s="43"/>
      <c r="H15" s="42"/>
      <c r="J15" s="17"/>
      <c r="M15" s="27">
        <f>IF(E8="Commercial",IF(E9="Typical",(2.20292*EXP(0.0274*85)),(6.193*EXP(0.0283*85))),IF(E9="Typical",(2.20292*EXP(0.0274*100)),(6.193*EXP(0.0283*100))))*(G26^2)</f>
        <v>41.281072942199309</v>
      </c>
      <c r="AB15" s="6" t="s">
        <v>8</v>
      </c>
    </row>
    <row r="16" spans="2:28" hidden="1" x14ac:dyDescent="0.3">
      <c r="B16" s="16"/>
      <c r="D16" s="38" t="s">
        <v>12</v>
      </c>
      <c r="E16" s="155">
        <v>25</v>
      </c>
      <c r="F16" s="155"/>
      <c r="J16" s="17"/>
      <c r="M16" s="27">
        <f>D35-K33</f>
        <v>0.2233980105984521</v>
      </c>
      <c r="AB16" s="116" t="s">
        <v>9</v>
      </c>
    </row>
    <row r="17" spans="2:28" hidden="1" x14ac:dyDescent="0.3">
      <c r="B17" s="16"/>
      <c r="D17" s="39" t="s">
        <v>13</v>
      </c>
      <c r="E17" s="149"/>
      <c r="F17" s="149"/>
      <c r="J17" s="17"/>
      <c r="M17" s="27">
        <f>SUM(M15:M16)</f>
        <v>41.50447095279776</v>
      </c>
      <c r="AB17" s="116" t="s">
        <v>108</v>
      </c>
    </row>
    <row r="18" spans="2:28" hidden="1" x14ac:dyDescent="0.3">
      <c r="B18" s="16"/>
      <c r="D18" s="39" t="s">
        <v>15</v>
      </c>
      <c r="E18" s="143"/>
      <c r="F18" s="143"/>
      <c r="J18" s="17"/>
      <c r="AB18" s="117" t="s">
        <v>45</v>
      </c>
    </row>
    <row r="19" spans="2:28" hidden="1" x14ac:dyDescent="0.3">
      <c r="B19" s="16"/>
      <c r="D19" s="39" t="s">
        <v>18</v>
      </c>
      <c r="E19" s="144">
        <f>IF(E7="Q144",IF(E17=0,((-0.0437*E16)+44.084),IF(E17=1,((-0.0159*E16)+38.035),((-0.01*E16)+35.702))),0)</f>
        <v>0</v>
      </c>
      <c r="F19" s="144"/>
      <c r="J19" s="17"/>
      <c r="M19" s="27">
        <f>IF(Package="Q144",SUM(D25:D30)+M17,0)</f>
        <v>0</v>
      </c>
      <c r="AB19" s="119"/>
    </row>
    <row r="20" spans="2:28" ht="15" hidden="1" customHeight="1" x14ac:dyDescent="0.3">
      <c r="B20" s="16"/>
      <c r="D20" s="39" t="s">
        <v>20</v>
      </c>
      <c r="E20" s="145">
        <f>E16+(E19*(D36*0.001))</f>
        <v>25</v>
      </c>
      <c r="F20" s="145"/>
      <c r="J20" s="17"/>
      <c r="M20" s="21">
        <f>IF(E8="Commercial",IF(E7="Q144",IF(E17=0,((-0.0437*85)+44.084),IF(E17=1,((-0.0159*85)+38.035),((-0.01*85)+35.702))),0),IF(E7="Q144",IF(E17=0,((-0.0437*100)+44.084),IF(E17=1,((-0.0159*100)+38.035),((-0.01*100)+35.702))),0))</f>
        <v>0</v>
      </c>
      <c r="AB20" s="6" t="s">
        <v>146</v>
      </c>
    </row>
    <row r="21" spans="2:28" hidden="1" x14ac:dyDescent="0.3">
      <c r="B21" s="16"/>
      <c r="D21" s="39" t="s">
        <v>21</v>
      </c>
      <c r="E21" s="144">
        <f>M21</f>
        <v>100</v>
      </c>
      <c r="F21" s="146"/>
      <c r="J21" s="17"/>
      <c r="M21" s="27">
        <f>IF(E8="Commercial",(85-(M20*(M19/1000))),(100-(M20*(M19/1000))))</f>
        <v>100</v>
      </c>
      <c r="AB21" s="78" t="s">
        <v>84</v>
      </c>
    </row>
    <row r="22" spans="2:28" hidden="1" x14ac:dyDescent="0.3">
      <c r="B22" s="16"/>
      <c r="J22" s="17"/>
      <c r="AB22" s="78" t="s">
        <v>85</v>
      </c>
    </row>
    <row r="23" spans="2:28" x14ac:dyDescent="0.3">
      <c r="B23" s="16"/>
      <c r="C23" s="147" t="s">
        <v>24</v>
      </c>
      <c r="D23" s="147"/>
      <c r="F23" s="147" t="s">
        <v>25</v>
      </c>
      <c r="G23" s="147"/>
      <c r="H23" s="147"/>
      <c r="I23" s="147"/>
      <c r="J23" s="17"/>
      <c r="V23" s="105" t="s">
        <v>133</v>
      </c>
      <c r="W23" s="106">
        <v>3888</v>
      </c>
      <c r="X23"/>
      <c r="Y23" s="109" t="s">
        <v>140</v>
      </c>
      <c r="Z23" s="107">
        <v>2</v>
      </c>
      <c r="AB23" s="78" t="s">
        <v>86</v>
      </c>
    </row>
    <row r="24" spans="2:28" x14ac:dyDescent="0.3">
      <c r="B24" s="16"/>
      <c r="C24" s="39" t="s">
        <v>27</v>
      </c>
      <c r="D24" s="45" t="s">
        <v>28</v>
      </c>
      <c r="F24" s="148" t="s">
        <v>29</v>
      </c>
      <c r="G24" s="148" t="s">
        <v>30</v>
      </c>
      <c r="H24" s="148" t="s">
        <v>31</v>
      </c>
      <c r="I24" s="148" t="s">
        <v>32</v>
      </c>
      <c r="J24" s="17"/>
      <c r="V24" s="105" t="s">
        <v>135</v>
      </c>
      <c r="W24" s="108">
        <v>500</v>
      </c>
      <c r="X24"/>
      <c r="Y24" s="109" t="s">
        <v>142</v>
      </c>
      <c r="Z24" s="107">
        <v>10</v>
      </c>
      <c r="AB24" s="120" t="s">
        <v>87</v>
      </c>
    </row>
    <row r="25" spans="2:28" x14ac:dyDescent="0.3">
      <c r="B25" s="16"/>
      <c r="C25" s="44" t="s">
        <v>33</v>
      </c>
      <c r="D25" s="46">
        <f>calTotal!D25</f>
        <v>0</v>
      </c>
      <c r="F25" s="148"/>
      <c r="G25" s="148"/>
      <c r="H25" s="148"/>
      <c r="I25" s="148"/>
      <c r="J25" s="17"/>
      <c r="V25" s="105" t="s">
        <v>137</v>
      </c>
      <c r="W25" s="106">
        <v>500</v>
      </c>
      <c r="X25"/>
      <c r="Y25" s="109" t="s">
        <v>146</v>
      </c>
      <c r="Z25" s="107" t="s">
        <v>87</v>
      </c>
      <c r="AB25" s="123"/>
    </row>
    <row r="26" spans="2:28" x14ac:dyDescent="0.3">
      <c r="B26" s="16"/>
      <c r="C26" s="44" t="s">
        <v>34</v>
      </c>
      <c r="D26" s="46">
        <f>calTotal!D26</f>
        <v>0</v>
      </c>
      <c r="F26" s="47" t="s">
        <v>35</v>
      </c>
      <c r="G26" s="31">
        <f>calTotal!G26</f>
        <v>1.1000000000000001</v>
      </c>
      <c r="H26" s="60">
        <f>calTotal!H26</f>
        <v>0.2233980105984521</v>
      </c>
      <c r="I26" s="60">
        <f>H26/G26</f>
        <v>0.20308910054404736</v>
      </c>
      <c r="J26" s="17"/>
      <c r="V26" s="105" t="s">
        <v>139</v>
      </c>
      <c r="W26" s="108">
        <v>50</v>
      </c>
      <c r="X26"/>
      <c r="Y26" s="109" t="s">
        <v>152</v>
      </c>
      <c r="Z26" s="107">
        <v>5</v>
      </c>
      <c r="AB26" s="122" t="s">
        <v>147</v>
      </c>
    </row>
    <row r="27" spans="2:28" x14ac:dyDescent="0.3">
      <c r="B27" s="16"/>
      <c r="C27" s="44" t="s">
        <v>36</v>
      </c>
      <c r="D27" s="46">
        <f>calTotal!D27</f>
        <v>0</v>
      </c>
      <c r="F27" s="47" t="s">
        <v>37</v>
      </c>
      <c r="G27" s="31">
        <f>calTotal!G27</f>
        <v>1.1000000000000001</v>
      </c>
      <c r="H27" s="60">
        <f>calTotal!H27</f>
        <v>0</v>
      </c>
      <c r="I27" s="60">
        <f>H27/G27</f>
        <v>0</v>
      </c>
      <c r="J27" s="17"/>
      <c r="V27" s="105" t="s">
        <v>141</v>
      </c>
      <c r="W27" s="106">
        <v>1600</v>
      </c>
      <c r="X27"/>
      <c r="Y27" s="109" t="s">
        <v>154</v>
      </c>
      <c r="Z27" s="107">
        <v>5</v>
      </c>
      <c r="AB27" s="78">
        <v>0</v>
      </c>
    </row>
    <row r="28" spans="2:28" x14ac:dyDescent="0.3">
      <c r="B28" s="16"/>
      <c r="C28" s="44" t="s">
        <v>38</v>
      </c>
      <c r="D28" s="46">
        <f>calTotal!D28</f>
        <v>0</v>
      </c>
      <c r="F28" s="148" t="s">
        <v>39</v>
      </c>
      <c r="G28" s="31">
        <f>calTotal!G28</f>
        <v>1.8</v>
      </c>
      <c r="H28" s="60">
        <f>calTotal!H28</f>
        <v>0</v>
      </c>
      <c r="I28" s="60">
        <f t="shared" ref="I28:I30" si="0">H28/G28</f>
        <v>0</v>
      </c>
      <c r="J28" s="17"/>
      <c r="V28" s="105" t="s">
        <v>143</v>
      </c>
      <c r="W28" s="108">
        <v>160</v>
      </c>
      <c r="X28"/>
      <c r="Y28" s="109" t="s">
        <v>156</v>
      </c>
      <c r="Z28" s="107" t="s">
        <v>83</v>
      </c>
      <c r="AB28" s="78">
        <v>1</v>
      </c>
    </row>
    <row r="29" spans="2:28" x14ac:dyDescent="0.3">
      <c r="B29" s="16"/>
      <c r="C29" s="39" t="s">
        <v>40</v>
      </c>
      <c r="D29" s="46">
        <f>calTotal!D29</f>
        <v>0</v>
      </c>
      <c r="F29" s="148"/>
      <c r="G29" s="31">
        <f>calTotal!G29</f>
        <v>2.5</v>
      </c>
      <c r="H29" s="60">
        <f>calTotal!H29</f>
        <v>0</v>
      </c>
      <c r="I29" s="60">
        <f t="shared" si="0"/>
        <v>0</v>
      </c>
      <c r="J29" s="17"/>
      <c r="V29" s="105" t="s">
        <v>148</v>
      </c>
      <c r="W29" s="106">
        <v>10</v>
      </c>
      <c r="X29"/>
      <c r="Y29" s="109" t="s">
        <v>158</v>
      </c>
      <c r="Z29" s="107">
        <v>1</v>
      </c>
      <c r="AB29" s="1"/>
    </row>
    <row r="30" spans="2:28" x14ac:dyDescent="0.3">
      <c r="B30" s="16"/>
      <c r="C30" s="39" t="s">
        <v>41</v>
      </c>
      <c r="D30" s="46">
        <f>calTotal!D30</f>
        <v>0</v>
      </c>
      <c r="F30" s="148"/>
      <c r="G30" s="31">
        <f>calTotal!G30</f>
        <v>3.3</v>
      </c>
      <c r="H30" s="60">
        <f>calTotal!H30</f>
        <v>0</v>
      </c>
      <c r="I30" s="60">
        <f t="shared" si="0"/>
        <v>0</v>
      </c>
      <c r="J30" s="17"/>
      <c r="N30" s="21"/>
      <c r="V30" s="105" t="s">
        <v>150</v>
      </c>
      <c r="W30" s="108">
        <v>2</v>
      </c>
      <c r="X30"/>
      <c r="Y30" s="101" t="s">
        <v>160</v>
      </c>
      <c r="Z30" s="131">
        <v>1</v>
      </c>
      <c r="AB30" s="115" t="s">
        <v>149</v>
      </c>
    </row>
    <row r="31" spans="2:28" customFormat="1" ht="23.4" x14ac:dyDescent="0.45">
      <c r="B31" s="55"/>
      <c r="C31" s="48" t="s">
        <v>42</v>
      </c>
      <c r="D31" s="49">
        <f>calTotal!D31</f>
        <v>0</v>
      </c>
      <c r="E31" s="1"/>
      <c r="F31" s="62"/>
      <c r="G31" s="63"/>
      <c r="H31" s="27"/>
      <c r="I31" s="27"/>
      <c r="J31" s="56"/>
      <c r="K31" s="1"/>
      <c r="L31" s="1"/>
      <c r="M31" s="1"/>
      <c r="V31" s="105" t="s">
        <v>151</v>
      </c>
      <c r="W31" s="106">
        <v>10</v>
      </c>
      <c r="Y31" s="109" t="s">
        <v>144</v>
      </c>
      <c r="Z31" s="107">
        <v>200</v>
      </c>
      <c r="AB31" s="78">
        <v>0</v>
      </c>
    </row>
    <row r="32" spans="2:28" customFormat="1" x14ac:dyDescent="0.3">
      <c r="B32" s="55"/>
      <c r="C32" s="1"/>
      <c r="D32" s="1"/>
      <c r="E32" s="1"/>
      <c r="F32" s="62"/>
      <c r="G32" s="63"/>
      <c r="H32" s="27"/>
      <c r="I32" s="27"/>
      <c r="J32" s="56"/>
      <c r="K32" s="1"/>
      <c r="L32" s="1"/>
      <c r="M32" s="1"/>
      <c r="V32" s="105" t="s">
        <v>153</v>
      </c>
      <c r="W32" s="108">
        <v>2</v>
      </c>
      <c r="Y32" s="124" t="s">
        <v>145</v>
      </c>
      <c r="Z32" s="125">
        <v>800</v>
      </c>
      <c r="AB32" s="78">
        <v>1</v>
      </c>
    </row>
    <row r="33" spans="2:28" x14ac:dyDescent="0.3">
      <c r="B33" s="16"/>
      <c r="J33" s="17"/>
      <c r="V33" s="105" t="s">
        <v>155</v>
      </c>
      <c r="W33" s="106">
        <v>10</v>
      </c>
      <c r="X33"/>
      <c r="Y33" s="127"/>
      <c r="Z33" s="128"/>
      <c r="AB33" s="78">
        <v>2</v>
      </c>
    </row>
    <row r="34" spans="2:28" x14ac:dyDescent="0.3">
      <c r="B34" s="16"/>
      <c r="J34" s="17"/>
      <c r="V34" s="105" t="s">
        <v>157</v>
      </c>
      <c r="W34" s="108">
        <v>1.2</v>
      </c>
      <c r="X34"/>
      <c r="Y34"/>
      <c r="Z34" s="112"/>
      <c r="AB34" s="78">
        <v>3</v>
      </c>
    </row>
    <row r="35" spans="2:28" ht="23.4" x14ac:dyDescent="0.45">
      <c r="B35" s="16"/>
      <c r="C35" s="48" t="s">
        <v>43</v>
      </c>
      <c r="D35" s="79">
        <f>calTotal!D35</f>
        <v>0.2233980105984521</v>
      </c>
      <c r="J35" s="17"/>
      <c r="V35" s="105" t="s">
        <v>159</v>
      </c>
      <c r="W35" s="113">
        <v>1</v>
      </c>
      <c r="X35"/>
      <c r="AB35" s="1"/>
    </row>
    <row r="36" spans="2:28" ht="28.8" x14ac:dyDescent="0.55000000000000004">
      <c r="B36" s="16"/>
      <c r="C36" s="50" t="s">
        <v>22</v>
      </c>
      <c r="D36" s="80">
        <f>calTotal!D36</f>
        <v>0.2233980105984521</v>
      </c>
      <c r="J36" s="17"/>
      <c r="V36" s="105" t="s">
        <v>161</v>
      </c>
      <c r="W36" s="114">
        <v>0.2</v>
      </c>
      <c r="X36"/>
      <c r="AB36" s="115" t="s">
        <v>75</v>
      </c>
    </row>
    <row r="37" spans="2:28" ht="15" thickBot="1" x14ac:dyDescent="0.35">
      <c r="B37" s="18"/>
      <c r="C37" s="19"/>
      <c r="D37" s="19"/>
      <c r="E37" s="19"/>
      <c r="F37" s="19"/>
      <c r="G37" s="19"/>
      <c r="H37" s="19"/>
      <c r="I37" s="19"/>
      <c r="J37" s="20"/>
      <c r="V37" s="101" t="s">
        <v>162</v>
      </c>
      <c r="W37" s="106">
        <v>0</v>
      </c>
      <c r="X37"/>
      <c r="Y37"/>
      <c r="Z37" s="112"/>
      <c r="AB37" s="120" t="s">
        <v>83</v>
      </c>
    </row>
    <row r="38" spans="2:28" x14ac:dyDescent="0.3">
      <c r="V38"/>
      <c r="W38" s="129"/>
      <c r="X38"/>
      <c r="Y38"/>
      <c r="Z38" s="126"/>
      <c r="AB38" s="121"/>
    </row>
    <row r="39" spans="2:28" ht="15" hidden="1" customHeight="1" x14ac:dyDescent="0.3">
      <c r="C39" s="21" t="s">
        <v>9</v>
      </c>
      <c r="D39" s="1" t="s">
        <v>104</v>
      </c>
      <c r="E39" s="1" t="s">
        <v>103</v>
      </c>
      <c r="F39" s="1" t="s">
        <v>163</v>
      </c>
      <c r="G39" s="1" t="s">
        <v>7</v>
      </c>
      <c r="H39" s="22">
        <v>0</v>
      </c>
      <c r="V39"/>
      <c r="W39" s="111"/>
      <c r="X39"/>
    </row>
    <row r="40" spans="2:28" ht="15" hidden="1" customHeight="1" x14ac:dyDescent="0.3">
      <c r="C40" s="28" t="s">
        <v>108</v>
      </c>
      <c r="D40" s="1" t="s">
        <v>100</v>
      </c>
      <c r="E40" s="1" t="s">
        <v>102</v>
      </c>
      <c r="F40" s="1" t="s">
        <v>164</v>
      </c>
      <c r="G40" s="1" t="s">
        <v>45</v>
      </c>
      <c r="H40" s="22">
        <v>1</v>
      </c>
      <c r="I40" s="1" t="s">
        <v>16</v>
      </c>
      <c r="V40"/>
      <c r="W40" s="111"/>
      <c r="X40"/>
    </row>
    <row r="41" spans="2:28" hidden="1" x14ac:dyDescent="0.3">
      <c r="C41" s="28" t="s">
        <v>45</v>
      </c>
      <c r="E41" s="1" t="s">
        <v>101</v>
      </c>
      <c r="H41" s="22">
        <v>2.5</v>
      </c>
      <c r="X41"/>
      <c r="Y41"/>
      <c r="Z41" s="112"/>
      <c r="AB41" s="3"/>
    </row>
    <row r="42" spans="2:28" x14ac:dyDescent="0.3">
      <c r="X42"/>
      <c r="Y42"/>
      <c r="Z42" s="112"/>
      <c r="AB42" s="3"/>
    </row>
    <row r="43" spans="2:28" x14ac:dyDescent="0.3">
      <c r="X43"/>
      <c r="AB43" s="3"/>
    </row>
    <row r="44" spans="2:28" x14ac:dyDescent="0.3">
      <c r="AB44" s="3"/>
    </row>
    <row r="45" spans="2:28" x14ac:dyDescent="0.3">
      <c r="C45" s="142"/>
      <c r="D45" s="142"/>
      <c r="AB45" s="1"/>
    </row>
    <row r="46" spans="2:28" ht="25.8" x14ac:dyDescent="0.5">
      <c r="C46" s="58"/>
      <c r="D46" s="21"/>
      <c r="H46" s="36"/>
      <c r="AB46" s="35"/>
    </row>
    <row r="47" spans="2:28" ht="23.4" x14ac:dyDescent="0.45">
      <c r="C47" s="58"/>
      <c r="D47" s="21"/>
      <c r="H47" s="37"/>
      <c r="AB47" s="3"/>
    </row>
    <row r="48" spans="2:28" x14ac:dyDescent="0.3">
      <c r="C48" s="58"/>
      <c r="D48" s="21"/>
      <c r="AB48" s="3"/>
    </row>
    <row r="49" spans="3:28" x14ac:dyDescent="0.3">
      <c r="C49" s="58"/>
      <c r="AB49" s="1"/>
    </row>
    <row r="50" spans="3:28" x14ac:dyDescent="0.3">
      <c r="AB50" s="35"/>
    </row>
    <row r="51" spans="3:28" x14ac:dyDescent="0.3">
      <c r="AB51" s="3"/>
    </row>
    <row r="52" spans="3:28" x14ac:dyDescent="0.3">
      <c r="AB52" s="1"/>
    </row>
  </sheetData>
  <sheetProtection algorithmName="SHA-512" hashValue="dq5+mfzl3fOyKZphJiJ8Ue9h9W9XDV7aALI5xzL/zmmZB/QyAoVDqh+dsj2NEx2HWrz/hp/IgVPguYHKoWpDjg==" saltValue="4zvVERTGwma56NsoiapdUw==" spinCount="100000" sheet="1" formatCells="0" formatColumns="0" formatRows="0"/>
  <mergeCells count="24">
    <mergeCell ref="E17:F17"/>
    <mergeCell ref="B2:J2"/>
    <mergeCell ref="D4:F4"/>
    <mergeCell ref="E5:F5"/>
    <mergeCell ref="E6:F6"/>
    <mergeCell ref="E7:F7"/>
    <mergeCell ref="E8:F8"/>
    <mergeCell ref="E9:F9"/>
    <mergeCell ref="E10:F10"/>
    <mergeCell ref="E11:F11"/>
    <mergeCell ref="D15:F15"/>
    <mergeCell ref="E16:F16"/>
    <mergeCell ref="C45:D45"/>
    <mergeCell ref="E18:F18"/>
    <mergeCell ref="E19:F19"/>
    <mergeCell ref="E20:F20"/>
    <mergeCell ref="E21:F21"/>
    <mergeCell ref="C23:D23"/>
    <mergeCell ref="F23:I23"/>
    <mergeCell ref="F24:F25"/>
    <mergeCell ref="G24:G25"/>
    <mergeCell ref="H24:H25"/>
    <mergeCell ref="I24:I25"/>
    <mergeCell ref="F28:F30"/>
  </mergeCells>
  <conditionalFormatting sqref="F31:I32">
    <cfRule type="expression" dxfId="62" priority="1">
      <formula>$E$7="F256"</formula>
    </cfRule>
  </conditionalFormatting>
  <dataValidations count="17">
    <dataValidation type="list" allowBlank="1" showInputMessage="1" showErrorMessage="1" promptTitle="Condition" prompt="Typical = Typical static leakage power_x000a_Maximum = Worst case static leakage power " sqref="E9:F9" xr:uid="{41AB6F83-03C0-4630-8EF5-624DEE3A9069}">
      <formula1>$G$39:$G$40</formula1>
    </dataValidation>
    <dataValidation type="custom" allowBlank="1" showInputMessage="1" showErrorMessage="1" error="Please insert the valid range for selected grade._x000a__x000a_Commercial grade valid from 0c - 85c_x000a__x000a_Industrial grade valid from -40c - 100c" promptTitle="Ambient Temperature" prompt="Advice to have ambient temperature not more than the maximum ambient temperature " sqref="E16:F16" xr:uid="{B42AF6CA-CE3E-404C-8264-D104BE95017D}">
      <formula1>IF(E8="Commercial",AND(E16&gt;=0,E16&lt;=85),AND(E16&gt;=-40,E16&lt;=100))</formula1>
    </dataValidation>
    <dataValidation type="list" allowBlank="1" showInputMessage="1" showErrorMessage="1" promptTitle="Package Selection" prompt="F49, F81" sqref="E7:F7" xr:uid="{A0A83345-4CF5-4F9D-989B-4D76A4A83AE5}">
      <formula1>IF($E$6="T4",$E$39:$E$40,$E$39:$E$41)</formula1>
    </dataValidation>
    <dataValidation allowBlank="1" showInputMessage="1" showErrorMessage="1" promptTitle="Maximum ambient temperature" prompt="Maximum Ta that the device subject without violate maximum junction temperature" sqref="G15" xr:uid="{84DBD6B3-FABC-491C-987F-3F62E62C1727}"/>
    <dataValidation type="custom" allowBlank="1" showInputMessage="1" showErrorMessage="1" error="Please insert the valid range for selected grade._x000a__x000a_Commercial grade valid from 0c - 85c_x000a__x000a_Industrial grade valid from -40c - 100c" promptTitle="Ambient Temperature" prompt="Recommend to have ambient temperature not more than the maximum ambient temperature " sqref="E11:F11" xr:uid="{DBB8CB93-8AAA-40C7-840E-D8004DCB6FEE}">
      <formula1>IF(E8="Commercial",AND(E11&gt;=0,E11&lt;=85),AND(E11&gt;=-40,E11&lt;=100))</formula1>
    </dataValidation>
    <dataValidation type="list" allowBlank="1" showInputMessage="1" showErrorMessage="1" error="Invalid Input" promptTitle="Voltage Variation" prompt="Minimum, Nominal, Maximum" sqref="E10:F10" xr:uid="{EF6B9CD2-3A86-4D07-8F78-CFC344C5710D}">
      <formula1>$C$39:$C$41</formula1>
    </dataValidation>
    <dataValidation type="list" allowBlank="1" showInputMessage="1" showErrorMessage="1" sqref="E18" xr:uid="{A5E2F0EF-B0D8-44AF-B6BB-86E1C3578C89}">
      <formula1>$I$40</formula1>
    </dataValidation>
    <dataValidation type="list" allowBlank="1" showInputMessage="1" showErrorMessage="1" sqref="E17" xr:uid="{2809D958-3E72-4168-9E1C-9B3BB0A7BC6F}">
      <formula1>$H$39:$H$41</formula1>
    </dataValidation>
    <dataValidation type="list" allowBlank="1" showInputMessage="1" showErrorMessage="1" sqref="Z3" xr:uid="{FA4593C9-9E82-497F-9806-963E2BB29B16}">
      <formula1>$AB$4:$AB$5</formula1>
    </dataValidation>
    <dataValidation type="list" allowBlank="1" showInputMessage="1" showErrorMessage="1" sqref="Z5" xr:uid="{02F4DC1A-CF79-45F1-83C3-E533AA49E4D9}">
      <formula1>$AB$12:$AB$13</formula1>
    </dataValidation>
    <dataValidation type="list" allowBlank="1" showInputMessage="1" showErrorMessage="1" sqref="Z4" xr:uid="{BD09A8E1-14E8-4761-AFB4-2B6B9EEACF3F}">
      <formula1>$AB$8:$AB$9</formula1>
    </dataValidation>
    <dataValidation type="list" allowBlank="1" showInputMessage="1" showErrorMessage="1" sqref="Z6" xr:uid="{1958EEA4-0B76-4427-94DE-4DDF39BA701B}">
      <formula1>$AB$16:$AB$18</formula1>
    </dataValidation>
    <dataValidation type="list" allowBlank="1" showInputMessage="1" showErrorMessage="1" sqref="Z34" xr:uid="{9E5A2997-D635-4B90-A118-D902DF0EFE27}">
      <formula1>$AB$41:$AB$44</formula1>
    </dataValidation>
    <dataValidation type="list" allowBlank="1" showInputMessage="1" showErrorMessage="1" sqref="Z28" xr:uid="{A4FB5EF7-6022-4E42-9777-88D1AE27834D}">
      <formula1>$AB$37:$AB$37</formula1>
    </dataValidation>
    <dataValidation type="list" allowBlank="1" showInputMessage="1" showErrorMessage="1" sqref="Z41" xr:uid="{AE4B0F2E-ED94-401C-B7DA-F4EEDFBD3949}">
      <formula1>$AB$31:$AB$34</formula1>
    </dataValidation>
    <dataValidation type="list" allowBlank="1" showInputMessage="1" showErrorMessage="1" sqref="Z25" xr:uid="{1003211F-0B40-4886-AD53-4DC101527C25}">
      <formula1>$AB$21:$AB$24</formula1>
    </dataValidation>
    <dataValidation type="list" allowBlank="1" showInputMessage="1" showErrorMessage="1" promptTitle="Speed Grade" prompt="C2: Commercial grade temperature range is from 0c - 85c_x000a_I2: Industrial grade temperature range is from -40c - 100c_x000a_" sqref="E8:F8" xr:uid="{F7B60B2C-5C6B-46E2-9076-461585B45FA8}">
      <formula1>$F$39:$F$40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A3E34-023A-441B-9836-2F365A895691}">
  <sheetPr codeName="Sheet11"/>
  <dimension ref="B1:AW1"/>
  <sheetViews>
    <sheetView workbookViewId="0"/>
  </sheetViews>
  <sheetFormatPr defaultRowHeight="14.4" x14ac:dyDescent="0.3"/>
  <cols>
    <col min="1" max="1" width="36.33203125" bestFit="1" customWidth="1"/>
    <col min="2" max="49" width="12.5546875" bestFit="1" customWidth="1"/>
    <col min="50" max="85" width="12.33203125" bestFit="1" customWidth="1"/>
  </cols>
  <sheetData>
    <row r="1" spans="2:49" x14ac:dyDescent="0.3"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</row>
  </sheetData>
  <sheetProtection algorithmName="SHA-512" hashValue="y+a8Alc//OtU30YGb88gWjGWA4Qdlz8DkawSI0Nx0vTABHHzXyUx3H/ofMoYRDEiv/IjECvrjMkLcWwZuaV86w==" saltValue="4yeU5G1hHCO6kudwzDDXaA==" spinCount="100000" sheet="1" objects="1" scenario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9"/>
  <sheetViews>
    <sheetView showGridLines="0" showRowColHeaders="0" zoomScaleNormal="100" workbookViewId="0"/>
  </sheetViews>
  <sheetFormatPr defaultColWidth="9.109375" defaultRowHeight="14.4" x14ac:dyDescent="0.3"/>
  <cols>
    <col min="1" max="1" width="9.109375" style="1"/>
    <col min="2" max="2" width="7.6640625" style="1" customWidth="1"/>
    <col min="3" max="3" width="35" style="1" bestFit="1" customWidth="1"/>
    <col min="4" max="4" width="35.6640625" style="1" bestFit="1" customWidth="1"/>
    <col min="5" max="5" width="7.109375" style="1" bestFit="1" customWidth="1"/>
    <col min="6" max="6" width="22.33203125" style="1" bestFit="1" customWidth="1"/>
    <col min="7" max="7" width="14" style="1" bestFit="1" customWidth="1"/>
    <col min="8" max="8" width="26.88671875" style="1" bestFit="1" customWidth="1"/>
    <col min="9" max="9" width="27.88671875" style="1" bestFit="1" customWidth="1"/>
    <col min="10" max="10" width="7.33203125" style="1" customWidth="1"/>
    <col min="11" max="11" width="12.44140625" style="1" hidden="1" customWidth="1"/>
    <col min="12" max="12" width="33.6640625" style="1" hidden="1" customWidth="1"/>
    <col min="13" max="14" width="26.6640625" style="1" customWidth="1"/>
    <col min="15" max="15" width="36" style="1" customWidth="1"/>
    <col min="16" max="17" width="9.109375" style="1" customWidth="1"/>
    <col min="18" max="16384" width="9.109375" style="1"/>
  </cols>
  <sheetData>
    <row r="1" spans="2:13" ht="33" customHeight="1" thickBot="1" x14ac:dyDescent="0.35"/>
    <row r="2" spans="2:13" ht="37.200000000000003" thickBot="1" x14ac:dyDescent="0.75">
      <c r="B2" s="150" t="s">
        <v>114</v>
      </c>
      <c r="C2" s="151"/>
      <c r="D2" s="151"/>
      <c r="E2" s="151"/>
      <c r="F2" s="151"/>
      <c r="G2" s="151"/>
      <c r="H2" s="151"/>
      <c r="I2" s="151"/>
      <c r="J2" s="152"/>
    </row>
    <row r="3" spans="2:13" x14ac:dyDescent="0.3">
      <c r="B3" s="16"/>
      <c r="J3" s="17"/>
    </row>
    <row r="4" spans="2:13" x14ac:dyDescent="0.3">
      <c r="B4" s="16"/>
      <c r="D4" s="147" t="s">
        <v>0</v>
      </c>
      <c r="E4" s="147"/>
      <c r="F4" s="147"/>
      <c r="J4" s="17"/>
    </row>
    <row r="5" spans="2:13" x14ac:dyDescent="0.3">
      <c r="B5" s="16"/>
      <c r="D5" s="44" t="s">
        <v>1</v>
      </c>
      <c r="E5" s="153" t="s">
        <v>2</v>
      </c>
      <c r="F5" s="153"/>
      <c r="J5" s="17"/>
    </row>
    <row r="6" spans="2:13" x14ac:dyDescent="0.3">
      <c r="B6" s="16"/>
      <c r="D6" s="44" t="s">
        <v>0</v>
      </c>
      <c r="E6" s="153" t="s">
        <v>104</v>
      </c>
      <c r="F6" s="153"/>
      <c r="J6" s="17"/>
    </row>
    <row r="7" spans="2:13" x14ac:dyDescent="0.3">
      <c r="B7" s="16"/>
      <c r="D7" s="44" t="s">
        <v>3</v>
      </c>
      <c r="E7" s="143" t="str">
        <f>Total!E7</f>
        <v>F49</v>
      </c>
      <c r="F7" s="143"/>
      <c r="G7" s="51"/>
      <c r="J7" s="17"/>
    </row>
    <row r="8" spans="2:13" x14ac:dyDescent="0.3">
      <c r="B8" s="16"/>
      <c r="D8" s="44" t="s">
        <v>4</v>
      </c>
      <c r="E8" s="143" t="str">
        <f>Total!E8</f>
        <v>I2</v>
      </c>
      <c r="F8" s="143"/>
      <c r="J8" s="17"/>
    </row>
    <row r="9" spans="2:13" x14ac:dyDescent="0.3">
      <c r="B9" s="16"/>
      <c r="D9" s="44" t="s">
        <v>6</v>
      </c>
      <c r="E9" s="143" t="str">
        <f>Total!E9</f>
        <v>Typical</v>
      </c>
      <c r="F9" s="143"/>
      <c r="J9" s="17"/>
    </row>
    <row r="10" spans="2:13" x14ac:dyDescent="0.3">
      <c r="B10" s="16"/>
      <c r="D10" s="44" t="s">
        <v>8</v>
      </c>
      <c r="E10" s="143" t="str">
        <f>Total!E10</f>
        <v>Nominal</v>
      </c>
      <c r="F10" s="143"/>
      <c r="J10" s="17"/>
    </row>
    <row r="11" spans="2:13" x14ac:dyDescent="0.3">
      <c r="B11" s="16"/>
      <c r="D11" s="38" t="s">
        <v>12</v>
      </c>
      <c r="E11" s="155">
        <f>Total!E11</f>
        <v>25</v>
      </c>
      <c r="F11" s="155"/>
      <c r="J11" s="17"/>
    </row>
    <row r="12" spans="2:13" ht="15" hidden="1" customHeight="1" x14ac:dyDescent="0.3">
      <c r="B12" s="16"/>
      <c r="D12" s="40" t="s">
        <v>10</v>
      </c>
      <c r="E12" s="41">
        <f>IF(E9="Typical",(2.20292*EXP(0.0274*E16))+3.44085,(5.8833*EXP(0.0283*E16))+1.06)</f>
        <v>7.8109406519415217</v>
      </c>
      <c r="F12" s="1" t="s">
        <v>105</v>
      </c>
      <c r="J12" s="17"/>
    </row>
    <row r="13" spans="2:13" hidden="1" x14ac:dyDescent="0.3">
      <c r="B13" s="16"/>
      <c r="D13" s="40" t="s">
        <v>10</v>
      </c>
      <c r="E13" s="41">
        <f>IF(E9="Typical",(0.076273*EXP(0.0239*E11))+0.045995,(0.14836*EXP(0.0286*E11)))</f>
        <v>0.18462645504004302</v>
      </c>
      <c r="F13" s="1" t="s">
        <v>106</v>
      </c>
      <c r="J13" s="17"/>
    </row>
    <row r="14" spans="2:13" x14ac:dyDescent="0.3">
      <c r="B14" s="16"/>
      <c r="D14" s="42"/>
      <c r="J14" s="17"/>
      <c r="L14" s="1" t="s">
        <v>109</v>
      </c>
    </row>
    <row r="15" spans="2:13" hidden="1" x14ac:dyDescent="0.3">
      <c r="B15" s="16"/>
      <c r="D15" s="147" t="s">
        <v>11</v>
      </c>
      <c r="E15" s="147"/>
      <c r="F15" s="147"/>
      <c r="G15" s="43"/>
      <c r="H15" s="42"/>
      <c r="J15" s="17"/>
      <c r="L15" s="1" t="s">
        <v>14</v>
      </c>
      <c r="M15" s="27">
        <f>IF(E8="Commercial",IF(E9="Typical",(2.20292*EXP(0.0274*85)),(6.193*EXP(0.0283*85))),IF(E9="Typical",(2.20292*EXP(0.0274*100)),(6.193*EXP(0.0283*100))))*(G26^2)</f>
        <v>41.281072942199309</v>
      </c>
    </row>
    <row r="16" spans="2:13" hidden="1" x14ac:dyDescent="0.3">
      <c r="B16" s="16"/>
      <c r="D16" s="38" t="s">
        <v>12</v>
      </c>
      <c r="E16" s="155">
        <v>25</v>
      </c>
      <c r="F16" s="155"/>
      <c r="J16" s="17"/>
      <c r="L16" s="1" t="s">
        <v>17</v>
      </c>
      <c r="M16" s="27">
        <f>D35-K33</f>
        <v>0.2233980105984521</v>
      </c>
    </row>
    <row r="17" spans="2:14" hidden="1" x14ac:dyDescent="0.3">
      <c r="B17" s="16"/>
      <c r="D17" s="39" t="s">
        <v>13</v>
      </c>
      <c r="E17" s="149">
        <v>0</v>
      </c>
      <c r="F17" s="149"/>
      <c r="J17" s="17"/>
      <c r="L17" s="1" t="s">
        <v>19</v>
      </c>
      <c r="M17" s="27">
        <f>SUM(M15:M16)</f>
        <v>41.50447095279776</v>
      </c>
    </row>
    <row r="18" spans="2:14" hidden="1" x14ac:dyDescent="0.3">
      <c r="B18" s="16"/>
      <c r="D18" s="39" t="s">
        <v>15</v>
      </c>
      <c r="E18" s="143" t="s">
        <v>16</v>
      </c>
      <c r="F18" s="143"/>
      <c r="J18" s="17"/>
    </row>
    <row r="19" spans="2:14" hidden="1" x14ac:dyDescent="0.3">
      <c r="B19" s="16"/>
      <c r="D19" s="39" t="s">
        <v>18</v>
      </c>
      <c r="E19" s="144">
        <f>IF(E7="Q144",IF(E17=0,((-0.0437*E16)+44.084),IF(E17=1,((-0.0159*E16)+38.035),((-0.01*E16)+35.702))),0)</f>
        <v>0</v>
      </c>
      <c r="F19" s="144"/>
      <c r="J19" s="17"/>
      <c r="L19" s="1" t="s">
        <v>22</v>
      </c>
      <c r="M19" s="27">
        <f>IF(Package="Q144",SUM(D25:D30)+M17,0)</f>
        <v>0</v>
      </c>
    </row>
    <row r="20" spans="2:14" ht="15" hidden="1" customHeight="1" x14ac:dyDescent="0.3">
      <c r="B20" s="16"/>
      <c r="D20" s="39" t="s">
        <v>20</v>
      </c>
      <c r="E20" s="145">
        <f>E16+(E19*(D36*0.001))</f>
        <v>25</v>
      </c>
      <c r="F20" s="145"/>
      <c r="J20" s="17"/>
      <c r="L20" s="1" t="s">
        <v>23</v>
      </c>
      <c r="M20" s="21">
        <f>IF(E8="Commercial",IF(E7="Q144",IF(E17=0,((-0.0437*85)+44.084),IF(E17=1,((-0.0159*85)+38.035),((-0.01*85)+35.702))),0),IF(E7="Q144",IF(E17=0,((-0.0437*100)+44.084),IF(E17=1,((-0.0159*100)+38.035),((-0.01*100)+35.702))),0))</f>
        <v>0</v>
      </c>
    </row>
    <row r="21" spans="2:14" hidden="1" x14ac:dyDescent="0.3">
      <c r="B21" s="16"/>
      <c r="D21" s="39" t="s">
        <v>21</v>
      </c>
      <c r="E21" s="144">
        <f>M21</f>
        <v>100</v>
      </c>
      <c r="F21" s="146"/>
      <c r="J21" s="17"/>
      <c r="L21" s="1" t="s">
        <v>26</v>
      </c>
      <c r="M21" s="27">
        <f>IF(E8="Commercial",(85-(M20*(M19/1000))),(100-(M20*(M19/1000))))</f>
        <v>100</v>
      </c>
    </row>
    <row r="22" spans="2:14" hidden="1" x14ac:dyDescent="0.3">
      <c r="B22" s="16"/>
      <c r="J22" s="17"/>
    </row>
    <row r="23" spans="2:14" x14ac:dyDescent="0.3">
      <c r="B23" s="16"/>
      <c r="C23" s="147" t="s">
        <v>24</v>
      </c>
      <c r="D23" s="147"/>
      <c r="F23" s="147" t="s">
        <v>25</v>
      </c>
      <c r="G23" s="147"/>
      <c r="H23" s="147"/>
      <c r="I23" s="147"/>
      <c r="J23" s="17"/>
    </row>
    <row r="24" spans="2:14" x14ac:dyDescent="0.3">
      <c r="B24" s="16"/>
      <c r="C24" s="39" t="s">
        <v>27</v>
      </c>
      <c r="D24" s="45" t="s">
        <v>28</v>
      </c>
      <c r="F24" s="148" t="s">
        <v>29</v>
      </c>
      <c r="G24" s="148" t="s">
        <v>30</v>
      </c>
      <c r="H24" s="148" t="s">
        <v>31</v>
      </c>
      <c r="I24" s="148" t="s">
        <v>32</v>
      </c>
      <c r="J24" s="17"/>
    </row>
    <row r="25" spans="2:14" x14ac:dyDescent="0.3">
      <c r="B25" s="16"/>
      <c r="C25" s="44" t="s">
        <v>33</v>
      </c>
      <c r="D25" s="46">
        <f>Logic!C2</f>
        <v>0</v>
      </c>
      <c r="F25" s="148"/>
      <c r="G25" s="148"/>
      <c r="H25" s="148"/>
      <c r="I25" s="148"/>
      <c r="J25" s="17"/>
    </row>
    <row r="26" spans="2:14" x14ac:dyDescent="0.3">
      <c r="B26" s="16"/>
      <c r="C26" s="44" t="s">
        <v>34</v>
      </c>
      <c r="D26" s="46">
        <f>Memory!C2</f>
        <v>0</v>
      </c>
      <c r="F26" s="47" t="s">
        <v>35</v>
      </c>
      <c r="G26" s="31">
        <f>Logic!B2</f>
        <v>1.1000000000000001</v>
      </c>
      <c r="H26" s="60">
        <f>Logic!C2+Memory!C2+Multiplier!C2+Clock!C2+PLL!C2+K34</f>
        <v>0.2233980105984521</v>
      </c>
      <c r="I26" s="60">
        <f>H26/G26</f>
        <v>0.20308910054404736</v>
      </c>
      <c r="J26" s="17"/>
    </row>
    <row r="27" spans="2:14" x14ac:dyDescent="0.3">
      <c r="B27" s="16"/>
      <c r="C27" s="44" t="s">
        <v>36</v>
      </c>
      <c r="D27" s="46">
        <f>Multiplier!C2</f>
        <v>0</v>
      </c>
      <c r="F27" s="47" t="s">
        <v>37</v>
      </c>
      <c r="G27" s="31">
        <f>PLL!B3</f>
        <v>1.1000000000000001</v>
      </c>
      <c r="H27" s="60">
        <f>PLL!C3</f>
        <v>0</v>
      </c>
      <c r="I27" s="60">
        <f>H27/G27</f>
        <v>0</v>
      </c>
      <c r="J27" s="17"/>
    </row>
    <row r="28" spans="2:14" x14ac:dyDescent="0.3">
      <c r="B28" s="16"/>
      <c r="C28" s="44" t="s">
        <v>38</v>
      </c>
      <c r="D28" s="46">
        <f>IO!D6+IO!D2+IO!D38</f>
        <v>0</v>
      </c>
      <c r="F28" s="148" t="s">
        <v>39</v>
      </c>
      <c r="G28" s="31">
        <f>IO!B3</f>
        <v>1.8</v>
      </c>
      <c r="H28" s="60">
        <f>IO!D3+IO!D35</f>
        <v>0</v>
      </c>
      <c r="I28" s="60">
        <f t="shared" ref="I28:I30" si="0">H28/G28</f>
        <v>0</v>
      </c>
      <c r="J28" s="17"/>
    </row>
    <row r="29" spans="2:14" x14ac:dyDescent="0.3">
      <c r="B29" s="16"/>
      <c r="C29" s="39" t="s">
        <v>40</v>
      </c>
      <c r="D29" s="60">
        <f>Clock!C2</f>
        <v>0</v>
      </c>
      <c r="F29" s="148"/>
      <c r="G29" s="31">
        <f>IO!B4</f>
        <v>2.5</v>
      </c>
      <c r="H29" s="60">
        <f>IO!D4+IO!D36</f>
        <v>0</v>
      </c>
      <c r="I29" s="60">
        <f t="shared" si="0"/>
        <v>0</v>
      </c>
      <c r="J29" s="17"/>
    </row>
    <row r="30" spans="2:14" x14ac:dyDescent="0.3">
      <c r="B30" s="16"/>
      <c r="C30" s="39" t="s">
        <v>41</v>
      </c>
      <c r="D30" s="60">
        <f>PLL!C4</f>
        <v>0</v>
      </c>
      <c r="F30" s="148"/>
      <c r="G30" s="31">
        <f>IO!B5</f>
        <v>3.3</v>
      </c>
      <c r="H30" s="60">
        <f>IO!D5+IO!D37</f>
        <v>0</v>
      </c>
      <c r="I30" s="60">
        <f t="shared" si="0"/>
        <v>0</v>
      </c>
      <c r="J30" s="17"/>
      <c r="N30" s="21"/>
    </row>
    <row r="31" spans="2:14" customFormat="1" ht="23.4" x14ac:dyDescent="0.45">
      <c r="B31" s="55"/>
      <c r="C31" s="48" t="s">
        <v>42</v>
      </c>
      <c r="D31" s="49">
        <f>IF(Package="F169",SUM(D25:D30),SUM(D25:D30))</f>
        <v>0</v>
      </c>
      <c r="E31" s="1"/>
      <c r="F31" s="62"/>
      <c r="G31" s="63"/>
      <c r="H31" s="27"/>
      <c r="I31" s="27"/>
      <c r="J31" s="56"/>
      <c r="K31" s="1"/>
      <c r="L31" s="1"/>
      <c r="M31" s="1"/>
    </row>
    <row r="32" spans="2:14" customFormat="1" x14ac:dyDescent="0.3">
      <c r="B32" s="55"/>
      <c r="C32" s="1"/>
      <c r="D32" s="1"/>
      <c r="E32" s="1"/>
      <c r="F32" s="62"/>
      <c r="G32" s="63"/>
      <c r="H32" s="27"/>
      <c r="I32" s="27"/>
      <c r="J32" s="56"/>
      <c r="K32" s="1"/>
      <c r="L32" s="1"/>
      <c r="M32" s="1"/>
    </row>
    <row r="33" spans="2:12" x14ac:dyDescent="0.3">
      <c r="B33" s="16"/>
      <c r="J33" s="17"/>
      <c r="K33" s="1">
        <f>IF(Package="Q144",IF(E10="Nominal",E12*(1.2^2),IF(E10="Minimum",E12*(1.15^2),IF(E10="Maximum",E12*(1.25^2),"Invalid"))),0)</f>
        <v>0</v>
      </c>
      <c r="L33" s="1" t="s">
        <v>105</v>
      </c>
    </row>
    <row r="34" spans="2:12" x14ac:dyDescent="0.3">
      <c r="B34" s="16"/>
      <c r="J34" s="17"/>
      <c r="K34" s="1">
        <f>IF(Package="Q144",0,IF(E10="Nominal",E13*(1.1^2),IF(E10="Maximum",E13*(1.15^2),IF(E10="Minimum",E13*(1.05^2),"Invalid"))))</f>
        <v>0.2233980105984521</v>
      </c>
      <c r="L34" s="1" t="s">
        <v>106</v>
      </c>
    </row>
    <row r="35" spans="2:12" ht="23.4" x14ac:dyDescent="0.45">
      <c r="B35" s="16"/>
      <c r="C35" s="48" t="s">
        <v>43</v>
      </c>
      <c r="D35" s="79">
        <f>IF(Package="Q144",K33+L36,K34)</f>
        <v>0.2233980105984521</v>
      </c>
      <c r="J35" s="17"/>
      <c r="L35" s="1" t="s">
        <v>107</v>
      </c>
    </row>
    <row r="36" spans="2:12" ht="28.8" x14ac:dyDescent="0.55000000000000004">
      <c r="B36" s="16"/>
      <c r="C36" s="50" t="s">
        <v>22</v>
      </c>
      <c r="D36" s="80">
        <f>SUM(D25:D30)+D35</f>
        <v>0.2233980105984521</v>
      </c>
      <c r="J36" s="17"/>
      <c r="L36" s="1">
        <f>IF(Package="Q144",IF(SUM(D25:D30)=0,0,3.4167*(G26^2)),0)</f>
        <v>0</v>
      </c>
    </row>
    <row r="37" spans="2:12" ht="15" thickBot="1" x14ac:dyDescent="0.35">
      <c r="B37" s="18"/>
      <c r="C37" s="19"/>
      <c r="D37" s="19"/>
      <c r="E37" s="19"/>
      <c r="F37" s="19"/>
      <c r="G37" s="19"/>
      <c r="H37" s="19"/>
      <c r="I37" s="19"/>
      <c r="J37" s="20"/>
    </row>
    <row r="39" spans="2:12" ht="15" hidden="1" customHeight="1" x14ac:dyDescent="0.3">
      <c r="C39" s="21" t="s">
        <v>9</v>
      </c>
      <c r="D39" s="1" t="s">
        <v>104</v>
      </c>
      <c r="E39" s="1" t="s">
        <v>103</v>
      </c>
      <c r="F39" s="1" t="s">
        <v>44</v>
      </c>
      <c r="G39" s="1" t="s">
        <v>7</v>
      </c>
      <c r="H39" s="22">
        <v>0</v>
      </c>
    </row>
    <row r="40" spans="2:12" ht="15" hidden="1" customHeight="1" x14ac:dyDescent="0.3">
      <c r="C40" s="28" t="s">
        <v>108</v>
      </c>
      <c r="D40" s="1" t="s">
        <v>100</v>
      </c>
      <c r="E40" s="1" t="s">
        <v>102</v>
      </c>
      <c r="F40" s="1" t="s">
        <v>5</v>
      </c>
      <c r="G40" s="1" t="s">
        <v>45</v>
      </c>
      <c r="H40" s="22">
        <v>1</v>
      </c>
      <c r="I40" s="1" t="s">
        <v>16</v>
      </c>
    </row>
    <row r="41" spans="2:12" hidden="1" x14ac:dyDescent="0.3">
      <c r="C41" s="28" t="s">
        <v>45</v>
      </c>
      <c r="E41" s="1" t="s">
        <v>101</v>
      </c>
      <c r="H41" s="22">
        <v>2.5</v>
      </c>
    </row>
    <row r="45" spans="2:12" x14ac:dyDescent="0.3">
      <c r="C45" s="142"/>
      <c r="D45" s="142"/>
    </row>
    <row r="46" spans="2:12" ht="25.8" x14ac:dyDescent="0.5">
      <c r="C46" s="58"/>
      <c r="D46" s="21"/>
      <c r="H46" s="36"/>
    </row>
    <row r="47" spans="2:12" ht="23.4" x14ac:dyDescent="0.45">
      <c r="C47" s="58"/>
      <c r="D47" s="21"/>
      <c r="H47" s="37"/>
    </row>
    <row r="48" spans="2:12" x14ac:dyDescent="0.3">
      <c r="C48" s="58"/>
      <c r="D48" s="21"/>
    </row>
    <row r="49" spans="3:3" x14ac:dyDescent="0.3">
      <c r="C49" s="58"/>
    </row>
  </sheetData>
  <sheetProtection algorithmName="SHA-512" hashValue="h9LTf8WsK4qMX259nX56S29lWrZQeXsKkRUWXQOP5S4AtFyFzqmXRowFKj7vE7wSP1tFsFPjVe45dVolnuws/A==" saltValue="nPhPNsqbrlHj6j9gp3jtmg==" spinCount="100000" sheet="1" formatCells="0" formatColumns="0" formatRows="0"/>
  <mergeCells count="24">
    <mergeCell ref="C45:D45"/>
    <mergeCell ref="E19:F19"/>
    <mergeCell ref="F23:I23"/>
    <mergeCell ref="C23:D23"/>
    <mergeCell ref="E21:F21"/>
    <mergeCell ref="F24:F25"/>
    <mergeCell ref="G24:G25"/>
    <mergeCell ref="H24:H25"/>
    <mergeCell ref="I24:I25"/>
    <mergeCell ref="F28:F30"/>
    <mergeCell ref="E18:F18"/>
    <mergeCell ref="E17:F17"/>
    <mergeCell ref="E16:F16"/>
    <mergeCell ref="E20:F20"/>
    <mergeCell ref="B2:J2"/>
    <mergeCell ref="D15:F15"/>
    <mergeCell ref="D4:F4"/>
    <mergeCell ref="E5:F5"/>
    <mergeCell ref="E6:F6"/>
    <mergeCell ref="E7:F7"/>
    <mergeCell ref="E10:F10"/>
    <mergeCell ref="E9:F9"/>
    <mergeCell ref="E8:F8"/>
    <mergeCell ref="E11:F11"/>
  </mergeCells>
  <conditionalFormatting sqref="F31:I32">
    <cfRule type="expression" dxfId="61" priority="1">
      <formula>$E$7="F256"</formula>
    </cfRule>
  </conditionalFormatting>
  <dataValidations count="4">
    <dataValidation type="list" allowBlank="1" showInputMessage="1" showErrorMessage="1" sqref="E17" xr:uid="{BFD53630-803D-4D9E-9B4C-4C28A503ACF4}">
      <formula1>$H$39:$H$41</formula1>
    </dataValidation>
    <dataValidation type="list" allowBlank="1" showInputMessage="1" showErrorMessage="1" sqref="E18" xr:uid="{A70B4A9A-3D4E-461D-85EF-E39DF26C0E26}">
      <formula1>$I$40</formula1>
    </dataValidation>
    <dataValidation allowBlank="1" showInputMessage="1" showErrorMessage="1" promptTitle="Maximum ambient temperature" prompt="Maximum Ta that the device subject without violate maximum junction temperature" sqref="G15" xr:uid="{1BBB5FF1-567F-4C26-A583-3D525A57840C}"/>
    <dataValidation type="custom" allowBlank="1" showInputMessage="1" showErrorMessage="1" error="Please insert the valid range for selected grade._x000a__x000a_Commercial grade valid from 0c - 85c_x000a__x000a_Industrial grade valid from -40c - 100c" promptTitle="Ambient Temperature" prompt="Advice to have ambient temperature not more than the maximum ambient temperature " sqref="E16:F16" xr:uid="{B98A618B-E806-4E5F-99A8-E87C9EE83007}">
      <formula1>IF(E8="Commercial",AND(E16&gt;=0,E16&lt;=85),AND(E16&gt;=-40,E16&lt;=100))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9"/>
  <sheetViews>
    <sheetView showGridLines="0" showRowColHeaders="0" zoomScaleNormal="100" workbookViewId="0">
      <selection sqref="A1:C1"/>
    </sheetView>
  </sheetViews>
  <sheetFormatPr defaultColWidth="9.109375" defaultRowHeight="14.4" x14ac:dyDescent="0.3"/>
  <cols>
    <col min="1" max="1" width="13.33203125" style="3" bestFit="1" customWidth="1"/>
    <col min="2" max="2" width="21.44140625" style="1" customWidth="1"/>
    <col min="3" max="3" width="14.6640625" style="1" customWidth="1"/>
    <col min="4" max="4" width="9.88671875" style="1" customWidth="1"/>
    <col min="5" max="5" width="13.33203125" style="1" customWidth="1"/>
    <col min="6" max="6" width="12.6640625" style="1" customWidth="1"/>
    <col min="7" max="7" width="15" style="1" customWidth="1"/>
    <col min="8" max="9" width="9.109375" style="1"/>
    <col min="10" max="10" width="15.44140625" style="1" bestFit="1" customWidth="1"/>
    <col min="11" max="11" width="9.5546875" style="1" bestFit="1" customWidth="1"/>
    <col min="12" max="16384" width="9.109375" style="1"/>
  </cols>
  <sheetData>
    <row r="1" spans="1:11" ht="25.8" x14ac:dyDescent="0.3">
      <c r="A1" s="156" t="s">
        <v>46</v>
      </c>
      <c r="B1" s="156"/>
      <c r="C1" s="156"/>
    </row>
    <row r="2" spans="1:11" ht="21" x14ac:dyDescent="0.4">
      <c r="A2" s="85" t="s">
        <v>35</v>
      </c>
      <c r="B2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2" s="87">
        <f>SUM(F5:F23)</f>
        <v>0</v>
      </c>
      <c r="J2" s="32"/>
      <c r="K2" s="32"/>
    </row>
    <row r="4" spans="1:11" s="7" customFormat="1" x14ac:dyDescent="0.3">
      <c r="A4" s="92" t="s">
        <v>47</v>
      </c>
      <c r="B4" s="88" t="s">
        <v>48</v>
      </c>
      <c r="C4" s="88" t="s">
        <v>49</v>
      </c>
      <c r="D4" s="88" t="s">
        <v>50</v>
      </c>
      <c r="E4" s="88" t="s">
        <v>51</v>
      </c>
      <c r="F4" s="88" t="s">
        <v>52</v>
      </c>
    </row>
    <row r="5" spans="1:11" x14ac:dyDescent="0.3">
      <c r="A5" s="64"/>
      <c r="B5" s="64"/>
      <c r="C5" s="64"/>
      <c r="D5" s="64"/>
      <c r="E5" s="132">
        <v>0.125</v>
      </c>
      <c r="F5" s="98">
        <f>IF(Package="Q144",(0.00010661*($B$2^2)*B5*C5*E5)+(0.000189782*($B$2^2)*D5*B5*E5),(0.00010684*($B$2^2)*B5*C5*E5)+(0.00011845*($B$2^2)*D5*B5*E5))</f>
        <v>0</v>
      </c>
    </row>
    <row r="6" spans="1:11" x14ac:dyDescent="0.3">
      <c r="A6" s="64"/>
      <c r="B6" s="64"/>
      <c r="C6" s="64"/>
      <c r="D6" s="64"/>
      <c r="E6" s="132">
        <v>0.125</v>
      </c>
      <c r="F6" s="98">
        <f t="shared" ref="F6:F21" si="0">IF(Package="Q144",(0.00010661*($B$2^2)*B6*C6*E6)+(0.000189782*($B$2^2)*D6*B6*E6),(0.00010684*($B$2^2)*B6*C6*E6)+(0.00011845*($B$2^2)*D6*B6*E6))</f>
        <v>0</v>
      </c>
    </row>
    <row r="7" spans="1:11" x14ac:dyDescent="0.3">
      <c r="A7" s="64"/>
      <c r="B7" s="64"/>
      <c r="C7" s="64"/>
      <c r="D7" s="64"/>
      <c r="E7" s="132">
        <v>0.125</v>
      </c>
      <c r="F7" s="98">
        <f t="shared" si="0"/>
        <v>0</v>
      </c>
    </row>
    <row r="8" spans="1:11" x14ac:dyDescent="0.3">
      <c r="A8" s="64"/>
      <c r="B8" s="64"/>
      <c r="C8" s="64"/>
      <c r="D8" s="64"/>
      <c r="E8" s="132">
        <v>0.125</v>
      </c>
      <c r="F8" s="98">
        <f t="shared" si="0"/>
        <v>0</v>
      </c>
    </row>
    <row r="9" spans="1:11" x14ac:dyDescent="0.3">
      <c r="A9" s="64"/>
      <c r="B9" s="64"/>
      <c r="C9" s="64"/>
      <c r="D9" s="64"/>
      <c r="E9" s="132">
        <v>0.125</v>
      </c>
      <c r="F9" s="98">
        <f t="shared" si="0"/>
        <v>0</v>
      </c>
    </row>
    <row r="10" spans="1:11" x14ac:dyDescent="0.3">
      <c r="A10" s="64"/>
      <c r="B10" s="64"/>
      <c r="C10" s="64"/>
      <c r="D10" s="64"/>
      <c r="E10" s="132">
        <v>0.125</v>
      </c>
      <c r="F10" s="98">
        <f t="shared" si="0"/>
        <v>0</v>
      </c>
    </row>
    <row r="11" spans="1:11" hidden="1" x14ac:dyDescent="0.3">
      <c r="A11" s="64"/>
      <c r="B11" s="64"/>
      <c r="C11" s="64"/>
      <c r="D11" s="64"/>
      <c r="E11" s="132">
        <v>0.125</v>
      </c>
      <c r="F11" s="98">
        <f t="shared" si="0"/>
        <v>0</v>
      </c>
    </row>
    <row r="12" spans="1:11" hidden="1" x14ac:dyDescent="0.3">
      <c r="A12" s="64"/>
      <c r="B12" s="64"/>
      <c r="C12" s="64"/>
      <c r="D12" s="64"/>
      <c r="E12" s="132">
        <v>0.125</v>
      </c>
      <c r="F12" s="98">
        <f t="shared" si="0"/>
        <v>0</v>
      </c>
    </row>
    <row r="13" spans="1:11" hidden="1" x14ac:dyDescent="0.3">
      <c r="A13" s="64"/>
      <c r="B13" s="64"/>
      <c r="C13" s="64"/>
      <c r="D13" s="64"/>
      <c r="E13" s="132">
        <v>0.125</v>
      </c>
      <c r="F13" s="98">
        <f t="shared" si="0"/>
        <v>0</v>
      </c>
    </row>
    <row r="14" spans="1:11" hidden="1" x14ac:dyDescent="0.3">
      <c r="A14" s="64"/>
      <c r="B14" s="64"/>
      <c r="C14" s="64"/>
      <c r="D14" s="64"/>
      <c r="E14" s="132">
        <v>0.125</v>
      </c>
      <c r="F14" s="98">
        <f t="shared" si="0"/>
        <v>0</v>
      </c>
    </row>
    <row r="15" spans="1:11" hidden="1" x14ac:dyDescent="0.3">
      <c r="A15" s="64"/>
      <c r="B15" s="64"/>
      <c r="C15" s="64"/>
      <c r="D15" s="64"/>
      <c r="E15" s="132">
        <v>0.125</v>
      </c>
      <c r="F15" s="98">
        <f t="shared" si="0"/>
        <v>0</v>
      </c>
    </row>
    <row r="16" spans="1:11" hidden="1" x14ac:dyDescent="0.3">
      <c r="A16" s="64"/>
      <c r="B16" s="64"/>
      <c r="C16" s="64"/>
      <c r="D16" s="64"/>
      <c r="E16" s="132">
        <v>0.125</v>
      </c>
      <c r="F16" s="98">
        <f t="shared" si="0"/>
        <v>0</v>
      </c>
    </row>
    <row r="17" spans="1:6" hidden="1" x14ac:dyDescent="0.3">
      <c r="A17" s="64"/>
      <c r="B17" s="64"/>
      <c r="C17" s="64"/>
      <c r="D17" s="64"/>
      <c r="E17" s="132">
        <v>0.125</v>
      </c>
      <c r="F17" s="98">
        <f t="shared" si="0"/>
        <v>0</v>
      </c>
    </row>
    <row r="18" spans="1:6" hidden="1" x14ac:dyDescent="0.3">
      <c r="A18" s="64"/>
      <c r="B18" s="64"/>
      <c r="C18" s="64"/>
      <c r="D18" s="64"/>
      <c r="E18" s="132">
        <v>0.125</v>
      </c>
      <c r="F18" s="98">
        <f t="shared" si="0"/>
        <v>0</v>
      </c>
    </row>
    <row r="19" spans="1:6" hidden="1" x14ac:dyDescent="0.3">
      <c r="A19" s="64"/>
      <c r="B19" s="64"/>
      <c r="C19" s="64"/>
      <c r="D19" s="64"/>
      <c r="E19" s="132">
        <v>0.125</v>
      </c>
      <c r="F19" s="98">
        <f t="shared" si="0"/>
        <v>0</v>
      </c>
    </row>
    <row r="20" spans="1:6" hidden="1" x14ac:dyDescent="0.3">
      <c r="A20" s="64"/>
      <c r="B20" s="64"/>
      <c r="C20" s="64"/>
      <c r="D20" s="64"/>
      <c r="E20" s="132">
        <v>0.125</v>
      </c>
      <c r="F20" s="98">
        <f t="shared" si="0"/>
        <v>0</v>
      </c>
    </row>
    <row r="21" spans="1:6" hidden="1" x14ac:dyDescent="0.3">
      <c r="A21" s="64"/>
      <c r="B21" s="64"/>
      <c r="C21" s="64"/>
      <c r="D21" s="64"/>
      <c r="E21" s="132">
        <v>0.125</v>
      </c>
      <c r="F21" s="98">
        <f t="shared" si="0"/>
        <v>0</v>
      </c>
    </row>
    <row r="22" spans="1:6" hidden="1" x14ac:dyDescent="0.3">
      <c r="A22" s="64"/>
      <c r="B22" s="64"/>
      <c r="C22" s="64"/>
      <c r="D22" s="64"/>
      <c r="E22" s="132">
        <v>0.125</v>
      </c>
      <c r="F22" s="98">
        <f>IF(Package="Q144",(0.00010661*($B$2^2)*B22*C22*E22)+(0.000189782*($B$2^2)*D22*B22*E22),(0.00010684*($B$2^2)*B22*C22*E22)+(0.00011845*($B$2^2)*D22*B22*E22))</f>
        <v>0</v>
      </c>
    </row>
    <row r="23" spans="1:6" hidden="1" x14ac:dyDescent="0.3">
      <c r="A23" s="64"/>
      <c r="B23" s="64"/>
      <c r="C23" s="64"/>
      <c r="D23" s="64"/>
      <c r="E23" s="132">
        <v>0.125</v>
      </c>
      <c r="F23" s="98">
        <f>IF(Package="Q144",(0.00010661*($B$2^2)*B23*C23*E23)+(0.000189782*($B$2^2)*D23*B23*E23),(0.00010684*($B$2^2)*B23*C23*E23)+(0.00011845*($B$2^2)*D23*B23*E23))</f>
        <v>0</v>
      </c>
    </row>
    <row r="24" spans="1:6" x14ac:dyDescent="0.3">
      <c r="A24" s="1"/>
    </row>
    <row r="29" spans="1:6" x14ac:dyDescent="0.3">
      <c r="A29" s="2"/>
    </row>
  </sheetData>
  <sheetProtection algorithmName="SHA-512" hashValue="H/LwTLwUJyxiUYm3vraecqqx/yRknDt22wkml0pJ0m7JnC/U7NJvG86YC+pyWygcxFU6aGiFzwmNuVqcueB+cQ==" saltValue="8qlJHuOVp1HjKgHyyn5dGA==" spinCount="100000" sheet="1" objects="1" scenarios="1"/>
  <dataConsolidate/>
  <mergeCells count="1">
    <mergeCell ref="A1:C1"/>
  </mergeCells>
  <dataValidations count="7">
    <dataValidation allowBlank="1" showInputMessage="1" showErrorMessage="1" promptTitle="Activity Factor" prompt="The output change value with respect to the clock cycle. An AF of 100% meant every positive edge (or every negative edge) of the clock, the output is change value" sqref="E4" xr:uid="{BFC45BB8-53C4-49EA-A635-CCA8CDFC73D8}"/>
    <dataValidation allowBlank="1" showInputMessage="1" showErrorMessage="1" promptTitle="Number of LUTs" prompt="Valid range from 0 - 3888" sqref="C4" xr:uid="{534F056F-16CA-4B00-9BC8-5A52AD08DC3D}"/>
    <dataValidation allowBlank="1" showInputMessage="1" showErrorMessage="1" promptTitle="Number of FFs" prompt="Valid range from 0 - 3888" sqref="D4" xr:uid="{F126F3CC-F0FD-4D7B-A854-CF1B518F0798}"/>
    <dataValidation type="decimal" allowBlank="1" showInputMessage="1" showErrorMessage="1" error="Only valid from 0% - 100%_x000a_" sqref="E5:E23" xr:uid="{0ADAAFC5-665F-4D86-9FB7-318802C01270}">
      <formula1>0</formula1>
      <formula2>1</formula2>
    </dataValidation>
    <dataValidation type="whole" allowBlank="1" showInputMessage="1" showErrorMessage="1" error="Valid range from 0 - 3888_x000a_" sqref="D5:D23" xr:uid="{78C45045-0079-4D2C-A2BD-6823BF46CA95}">
      <formula1>0</formula1>
      <formula2>3888</formula2>
    </dataValidation>
    <dataValidation type="decimal" operator="greaterThanOrEqual" allowBlank="1" showInputMessage="1" showErrorMessage="1" errorTitle="clock frequency" error="Valid number must be greater than or equal to 0_x000a_" sqref="B5:B23" xr:uid="{23327B04-1916-4941-8D30-03BA950CB1CE}">
      <formula1>0</formula1>
    </dataValidation>
    <dataValidation type="whole" allowBlank="1" showInputMessage="1" showErrorMessage="1" error="Valid range from 0 - 3888" sqref="C5:C23" xr:uid="{702D33E4-0D97-4CE4-86E3-D99B41FFFEC6}">
      <formula1>0</formula1>
      <formula2>3888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3"/>
  <sheetViews>
    <sheetView showGridLines="0" showRowColHeaders="0" zoomScaleNormal="100" workbookViewId="0">
      <selection sqref="A1:C1"/>
    </sheetView>
  </sheetViews>
  <sheetFormatPr defaultColWidth="9.109375" defaultRowHeight="14.4" x14ac:dyDescent="0.3"/>
  <cols>
    <col min="1" max="1" width="13.44140625" style="1" bestFit="1" customWidth="1"/>
    <col min="2" max="2" width="23.44140625" style="1" customWidth="1"/>
    <col min="3" max="3" width="15.5546875" style="1" bestFit="1" customWidth="1"/>
    <col min="4" max="4" width="11.44140625" style="1" customWidth="1"/>
    <col min="5" max="5" width="13" style="1" customWidth="1"/>
    <col min="6" max="16384" width="9.109375" style="1"/>
  </cols>
  <sheetData>
    <row r="1" spans="1:5" ht="25.8" x14ac:dyDescent="0.3">
      <c r="A1" s="156" t="s">
        <v>53</v>
      </c>
      <c r="B1" s="156"/>
      <c r="C1" s="156"/>
    </row>
    <row r="2" spans="1:5" ht="21" x14ac:dyDescent="0.4">
      <c r="A2" s="85" t="s">
        <v>35</v>
      </c>
      <c r="B2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2" s="87">
        <f>SUM(E5:E23)</f>
        <v>0</v>
      </c>
    </row>
    <row r="4" spans="1:5" s="9" customFormat="1" x14ac:dyDescent="0.3">
      <c r="A4" s="92" t="s">
        <v>47</v>
      </c>
      <c r="B4" s="92" t="s">
        <v>48</v>
      </c>
      <c r="C4" s="92" t="s">
        <v>54</v>
      </c>
      <c r="D4" s="92" t="s">
        <v>51</v>
      </c>
      <c r="E4" s="92" t="s">
        <v>52</v>
      </c>
    </row>
    <row r="5" spans="1:5" x14ac:dyDescent="0.3">
      <c r="A5" s="61"/>
      <c r="B5" s="61"/>
      <c r="C5" s="61"/>
      <c r="D5" s="133">
        <v>0.125</v>
      </c>
      <c r="E5" s="60">
        <f t="shared" ref="E5:E23" si="0">IF(Package="Q144",0.013017*($B$2^2)*B5*C5*D5,0.0099091*($B$2^2)*B5*C5*D5)</f>
        <v>0</v>
      </c>
    </row>
    <row r="6" spans="1:5" x14ac:dyDescent="0.3">
      <c r="A6" s="61"/>
      <c r="B6" s="61"/>
      <c r="C6" s="61"/>
      <c r="D6" s="133">
        <v>0.125</v>
      </c>
      <c r="E6" s="60">
        <f t="shared" si="0"/>
        <v>0</v>
      </c>
    </row>
    <row r="7" spans="1:5" x14ac:dyDescent="0.3">
      <c r="A7" s="61"/>
      <c r="B7" s="61"/>
      <c r="C7" s="61"/>
      <c r="D7" s="133">
        <v>0.125</v>
      </c>
      <c r="E7" s="60">
        <f t="shared" si="0"/>
        <v>0</v>
      </c>
    </row>
    <row r="8" spans="1:5" x14ac:dyDescent="0.3">
      <c r="A8" s="61"/>
      <c r="B8" s="61"/>
      <c r="C8" s="61"/>
      <c r="D8" s="133">
        <v>0.125</v>
      </c>
      <c r="E8" s="60">
        <f t="shared" si="0"/>
        <v>0</v>
      </c>
    </row>
    <row r="9" spans="1:5" x14ac:dyDescent="0.3">
      <c r="A9" s="61"/>
      <c r="B9" s="61"/>
      <c r="C9" s="61"/>
      <c r="D9" s="133">
        <v>0.125</v>
      </c>
      <c r="E9" s="60">
        <f t="shared" si="0"/>
        <v>0</v>
      </c>
    </row>
    <row r="10" spans="1:5" x14ac:dyDescent="0.3">
      <c r="A10" s="61"/>
      <c r="B10" s="61"/>
      <c r="C10" s="61"/>
      <c r="D10" s="133">
        <v>0.125</v>
      </c>
      <c r="E10" s="60">
        <f t="shared" si="0"/>
        <v>0</v>
      </c>
    </row>
    <row r="11" spans="1:5" hidden="1" x14ac:dyDescent="0.3">
      <c r="A11" s="61"/>
      <c r="B11" s="61"/>
      <c r="C11" s="61"/>
      <c r="D11" s="133">
        <v>0.125</v>
      </c>
      <c r="E11" s="60">
        <f t="shared" si="0"/>
        <v>0</v>
      </c>
    </row>
    <row r="12" spans="1:5" hidden="1" x14ac:dyDescent="0.3">
      <c r="A12" s="61"/>
      <c r="B12" s="61"/>
      <c r="C12" s="61"/>
      <c r="D12" s="133">
        <v>0.125</v>
      </c>
      <c r="E12" s="60">
        <f t="shared" si="0"/>
        <v>0</v>
      </c>
    </row>
    <row r="13" spans="1:5" hidden="1" x14ac:dyDescent="0.3">
      <c r="A13" s="61"/>
      <c r="B13" s="61"/>
      <c r="C13" s="61"/>
      <c r="D13" s="133">
        <v>0.125</v>
      </c>
      <c r="E13" s="60">
        <f t="shared" si="0"/>
        <v>0</v>
      </c>
    </row>
    <row r="14" spans="1:5" hidden="1" x14ac:dyDescent="0.3">
      <c r="A14" s="61"/>
      <c r="B14" s="61"/>
      <c r="C14" s="61"/>
      <c r="D14" s="133">
        <v>0.125</v>
      </c>
      <c r="E14" s="60">
        <f t="shared" si="0"/>
        <v>0</v>
      </c>
    </row>
    <row r="15" spans="1:5" hidden="1" x14ac:dyDescent="0.3">
      <c r="A15" s="61"/>
      <c r="B15" s="61"/>
      <c r="C15" s="61"/>
      <c r="D15" s="133">
        <v>0.125</v>
      </c>
      <c r="E15" s="60">
        <f t="shared" si="0"/>
        <v>0</v>
      </c>
    </row>
    <row r="16" spans="1:5" hidden="1" x14ac:dyDescent="0.3">
      <c r="A16" s="61"/>
      <c r="B16" s="61"/>
      <c r="C16" s="61"/>
      <c r="D16" s="133">
        <v>0.125</v>
      </c>
      <c r="E16" s="60">
        <f t="shared" si="0"/>
        <v>0</v>
      </c>
    </row>
    <row r="17" spans="1:5" hidden="1" x14ac:dyDescent="0.3">
      <c r="A17" s="61"/>
      <c r="B17" s="61"/>
      <c r="C17" s="61"/>
      <c r="D17" s="133">
        <v>0.125</v>
      </c>
      <c r="E17" s="60">
        <f t="shared" si="0"/>
        <v>0</v>
      </c>
    </row>
    <row r="18" spans="1:5" hidden="1" x14ac:dyDescent="0.3">
      <c r="A18" s="61"/>
      <c r="B18" s="61"/>
      <c r="C18" s="61"/>
      <c r="D18" s="133">
        <v>0.125</v>
      </c>
      <c r="E18" s="60">
        <f t="shared" si="0"/>
        <v>0</v>
      </c>
    </row>
    <row r="19" spans="1:5" hidden="1" x14ac:dyDescent="0.3">
      <c r="A19" s="61"/>
      <c r="B19" s="61"/>
      <c r="C19" s="61"/>
      <c r="D19" s="133">
        <v>0.125</v>
      </c>
      <c r="E19" s="60">
        <f t="shared" si="0"/>
        <v>0</v>
      </c>
    </row>
    <row r="20" spans="1:5" hidden="1" x14ac:dyDescent="0.3">
      <c r="A20" s="61"/>
      <c r="B20" s="61"/>
      <c r="C20" s="61"/>
      <c r="D20" s="133">
        <v>0.125</v>
      </c>
      <c r="E20" s="60">
        <f t="shared" si="0"/>
        <v>0</v>
      </c>
    </row>
    <row r="21" spans="1:5" hidden="1" x14ac:dyDescent="0.3">
      <c r="A21" s="61"/>
      <c r="B21" s="61"/>
      <c r="C21" s="61"/>
      <c r="D21" s="133">
        <v>0.125</v>
      </c>
      <c r="E21" s="60">
        <f t="shared" si="0"/>
        <v>0</v>
      </c>
    </row>
    <row r="22" spans="1:5" hidden="1" x14ac:dyDescent="0.3">
      <c r="A22" s="61"/>
      <c r="B22" s="61"/>
      <c r="C22" s="61"/>
      <c r="D22" s="133">
        <v>0.125</v>
      </c>
      <c r="E22" s="60">
        <f t="shared" si="0"/>
        <v>0</v>
      </c>
    </row>
    <row r="23" spans="1:5" hidden="1" x14ac:dyDescent="0.3">
      <c r="A23" s="61"/>
      <c r="B23" s="61"/>
      <c r="C23" s="61"/>
      <c r="D23" s="133">
        <v>0.125</v>
      </c>
      <c r="E23" s="60">
        <f t="shared" si="0"/>
        <v>0</v>
      </c>
    </row>
  </sheetData>
  <sheetProtection algorithmName="SHA-512" hashValue="nGIp+JnNFTiqREC55rkWZEhaKg2mX5S7T0RcwrSfKJk/AIUme1bfM2mKW/RM38ALU9JHkp5v5LtgTFQ2lnC1eA==" saltValue="dkL5/GDnYjrIy17nEaizOA==" spinCount="100000" sheet="1" objects="1" scenarios="1"/>
  <mergeCells count="1">
    <mergeCell ref="A1:C1"/>
  </mergeCells>
  <dataValidations count="5">
    <dataValidation allowBlank="1" showInputMessage="1" showErrorMessage="1" promptTitle="Activity Factor" prompt="The output change value with respect to the clock cycle. An AF of 100% meant every positive edge (or every negative edge) of the clock, the output is change value" sqref="D4" xr:uid="{CF461E49-FD40-41D2-9A1F-0076C7A168E5}"/>
    <dataValidation allowBlank="1" showInputMessage="1" showErrorMessage="1" error="_x000a_" promptTitle="Number of Memory Blocks" prompt="Valid range from 0 - 15" sqref="C4" xr:uid="{673AF9F8-BE1D-4CC3-B6A5-C9CD63B05BB5}"/>
    <dataValidation type="whole" allowBlank="1" showInputMessage="1" showErrorMessage="1" error="Valid range from 0 - 15" sqref="C5:C23" xr:uid="{1B6A3018-4FA3-4019-B8BE-DB59BCF18F67}">
      <formula1>0</formula1>
      <formula2>15</formula2>
    </dataValidation>
    <dataValidation type="decimal" allowBlank="1" showInputMessage="1" showErrorMessage="1" error="Only valid from 0% - 100%_x000a_" sqref="D5:D23" xr:uid="{07173911-7AD0-4127-97AE-5779FB142450}">
      <formula1>0</formula1>
      <formula2>1</formula2>
    </dataValidation>
    <dataValidation type="decimal" operator="greaterThanOrEqual" allowBlank="1" showInputMessage="1" showErrorMessage="1" errorTitle="clock frequency" error="Valid number must be greater than or equal to 0" sqref="B5:B23" xr:uid="{2F204E6A-5FD8-4C87-B252-F571CC77877C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3"/>
  <sheetViews>
    <sheetView showGridLines="0" showRowColHeaders="0" zoomScaleNormal="100" workbookViewId="0">
      <selection sqref="A1:C1"/>
    </sheetView>
  </sheetViews>
  <sheetFormatPr defaultColWidth="9.109375" defaultRowHeight="14.4" x14ac:dyDescent="0.3"/>
  <cols>
    <col min="1" max="1" width="13.44140625" style="1" bestFit="1" customWidth="1"/>
    <col min="2" max="2" width="21.33203125" style="1" customWidth="1"/>
    <col min="3" max="3" width="17.33203125" style="1" bestFit="1" customWidth="1"/>
    <col min="4" max="4" width="14.5546875" style="1" customWidth="1"/>
    <col min="5" max="5" width="11.88671875" style="1" bestFit="1" customWidth="1"/>
    <col min="6" max="16384" width="9.109375" style="1"/>
  </cols>
  <sheetData>
    <row r="1" spans="1:5" ht="25.8" x14ac:dyDescent="0.3">
      <c r="A1" s="156" t="s">
        <v>55</v>
      </c>
      <c r="B1" s="156"/>
      <c r="C1" s="156"/>
    </row>
    <row r="2" spans="1:5" ht="21" x14ac:dyDescent="0.4">
      <c r="A2" s="85" t="s">
        <v>35</v>
      </c>
      <c r="B2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2" s="87">
        <f>SUM(E5:E23)</f>
        <v>0</v>
      </c>
    </row>
    <row r="4" spans="1:5" x14ac:dyDescent="0.3">
      <c r="A4" s="88" t="s">
        <v>47</v>
      </c>
      <c r="B4" s="88" t="s">
        <v>48</v>
      </c>
      <c r="C4" s="92" t="s">
        <v>56</v>
      </c>
      <c r="D4" s="88" t="s">
        <v>51</v>
      </c>
      <c r="E4" s="88" t="s">
        <v>52</v>
      </c>
    </row>
    <row r="5" spans="1:5" x14ac:dyDescent="0.3">
      <c r="A5" s="61"/>
      <c r="B5" s="61"/>
      <c r="C5" s="61"/>
      <c r="D5" s="133">
        <v>0.125</v>
      </c>
      <c r="E5" s="60">
        <f t="shared" ref="E5:E23" si="0">IF(Package="Q144",0.01099467*($B$2^2)*B5*C5*D5,0.0097087*($B$2^2)*B5*C5*D5)</f>
        <v>0</v>
      </c>
    </row>
    <row r="6" spans="1:5" x14ac:dyDescent="0.3">
      <c r="A6" s="61"/>
      <c r="B6" s="61"/>
      <c r="C6" s="61"/>
      <c r="D6" s="133">
        <v>0.125</v>
      </c>
      <c r="E6" s="60">
        <f t="shared" si="0"/>
        <v>0</v>
      </c>
    </row>
    <row r="7" spans="1:5" x14ac:dyDescent="0.3">
      <c r="A7" s="61"/>
      <c r="B7" s="61"/>
      <c r="C7" s="61"/>
      <c r="D7" s="133">
        <v>0.125</v>
      </c>
      <c r="E7" s="60">
        <f t="shared" si="0"/>
        <v>0</v>
      </c>
    </row>
    <row r="8" spans="1:5" x14ac:dyDescent="0.3">
      <c r="A8" s="61"/>
      <c r="B8" s="61"/>
      <c r="C8" s="61"/>
      <c r="D8" s="133">
        <v>0.125</v>
      </c>
      <c r="E8" s="60">
        <f t="shared" si="0"/>
        <v>0</v>
      </c>
    </row>
    <row r="9" spans="1:5" x14ac:dyDescent="0.3">
      <c r="A9" s="61"/>
      <c r="B9" s="61"/>
      <c r="C9" s="61"/>
      <c r="D9" s="133">
        <v>0.125</v>
      </c>
      <c r="E9" s="60">
        <f t="shared" si="0"/>
        <v>0</v>
      </c>
    </row>
    <row r="10" spans="1:5" x14ac:dyDescent="0.3">
      <c r="A10" s="61"/>
      <c r="B10" s="61"/>
      <c r="C10" s="61"/>
      <c r="D10" s="133">
        <v>0.125</v>
      </c>
      <c r="E10" s="60">
        <f t="shared" si="0"/>
        <v>0</v>
      </c>
    </row>
    <row r="11" spans="1:5" hidden="1" x14ac:dyDescent="0.3">
      <c r="A11" s="61"/>
      <c r="B11" s="61"/>
      <c r="C11" s="61"/>
      <c r="D11" s="133">
        <v>0.125</v>
      </c>
      <c r="E11" s="60">
        <f t="shared" si="0"/>
        <v>0</v>
      </c>
    </row>
    <row r="12" spans="1:5" hidden="1" x14ac:dyDescent="0.3">
      <c r="A12" s="61"/>
      <c r="B12" s="61"/>
      <c r="C12" s="61"/>
      <c r="D12" s="133">
        <v>0.125</v>
      </c>
      <c r="E12" s="60">
        <f t="shared" si="0"/>
        <v>0</v>
      </c>
    </row>
    <row r="13" spans="1:5" hidden="1" x14ac:dyDescent="0.3">
      <c r="A13" s="61"/>
      <c r="B13" s="61"/>
      <c r="C13" s="61"/>
      <c r="D13" s="133">
        <v>0.125</v>
      </c>
      <c r="E13" s="60">
        <f t="shared" si="0"/>
        <v>0</v>
      </c>
    </row>
    <row r="14" spans="1:5" hidden="1" x14ac:dyDescent="0.3">
      <c r="A14" s="61"/>
      <c r="B14" s="61"/>
      <c r="C14" s="61"/>
      <c r="D14" s="133">
        <v>0.125</v>
      </c>
      <c r="E14" s="60">
        <f t="shared" si="0"/>
        <v>0</v>
      </c>
    </row>
    <row r="15" spans="1:5" hidden="1" x14ac:dyDescent="0.3">
      <c r="A15" s="61"/>
      <c r="B15" s="61"/>
      <c r="C15" s="61"/>
      <c r="D15" s="133">
        <v>0.125</v>
      </c>
      <c r="E15" s="60">
        <f t="shared" si="0"/>
        <v>0</v>
      </c>
    </row>
    <row r="16" spans="1:5" hidden="1" x14ac:dyDescent="0.3">
      <c r="A16" s="61"/>
      <c r="B16" s="61"/>
      <c r="C16" s="61"/>
      <c r="D16" s="133">
        <v>0.125</v>
      </c>
      <c r="E16" s="60">
        <f t="shared" si="0"/>
        <v>0</v>
      </c>
    </row>
    <row r="17" spans="1:5" hidden="1" x14ac:dyDescent="0.3">
      <c r="A17" s="61"/>
      <c r="B17" s="61"/>
      <c r="C17" s="61"/>
      <c r="D17" s="133">
        <v>0.125</v>
      </c>
      <c r="E17" s="60">
        <f t="shared" si="0"/>
        <v>0</v>
      </c>
    </row>
    <row r="18" spans="1:5" hidden="1" x14ac:dyDescent="0.3">
      <c r="A18" s="61"/>
      <c r="B18" s="61"/>
      <c r="C18" s="61"/>
      <c r="D18" s="133">
        <v>0.125</v>
      </c>
      <c r="E18" s="60">
        <f t="shared" si="0"/>
        <v>0</v>
      </c>
    </row>
    <row r="19" spans="1:5" hidden="1" x14ac:dyDescent="0.3">
      <c r="A19" s="61"/>
      <c r="B19" s="61"/>
      <c r="C19" s="61"/>
      <c r="D19" s="133">
        <v>0.125</v>
      </c>
      <c r="E19" s="60">
        <f t="shared" si="0"/>
        <v>0</v>
      </c>
    </row>
    <row r="20" spans="1:5" hidden="1" x14ac:dyDescent="0.3">
      <c r="A20" s="61"/>
      <c r="B20" s="61"/>
      <c r="C20" s="61"/>
      <c r="D20" s="133">
        <v>0.125</v>
      </c>
      <c r="E20" s="60">
        <f t="shared" si="0"/>
        <v>0</v>
      </c>
    </row>
    <row r="21" spans="1:5" hidden="1" x14ac:dyDescent="0.3">
      <c r="A21" s="61"/>
      <c r="B21" s="61"/>
      <c r="C21" s="61"/>
      <c r="D21" s="133">
        <v>0.125</v>
      </c>
      <c r="E21" s="60">
        <f t="shared" si="0"/>
        <v>0</v>
      </c>
    </row>
    <row r="22" spans="1:5" hidden="1" x14ac:dyDescent="0.3">
      <c r="A22" s="61"/>
      <c r="B22" s="61"/>
      <c r="C22" s="61"/>
      <c r="D22" s="133">
        <v>0.125</v>
      </c>
      <c r="E22" s="60">
        <f t="shared" si="0"/>
        <v>0</v>
      </c>
    </row>
    <row r="23" spans="1:5" hidden="1" x14ac:dyDescent="0.3">
      <c r="A23" s="61"/>
      <c r="B23" s="61"/>
      <c r="C23" s="61"/>
      <c r="D23" s="133">
        <v>0.125</v>
      </c>
      <c r="E23" s="60">
        <f t="shared" si="0"/>
        <v>0</v>
      </c>
    </row>
  </sheetData>
  <sheetProtection algorithmName="SHA-512" hashValue="eZT6bcc7yGlt+2kIDSRbMAS5lMTSlp5a/qCQkvH2pz174R/hdLDxPwCAYPriGxlfVVUA3IHikHvV01wbioBEPw==" saltValue="IfAxtOJhIohUiX5fzigNbg==" spinCount="100000" sheet="1" objects="1" scenarios="1"/>
  <mergeCells count="1">
    <mergeCell ref="A1:C1"/>
  </mergeCells>
  <dataValidations xWindow="411" yWindow="484" count="5">
    <dataValidation allowBlank="1" showInputMessage="1" showErrorMessage="1" promptTitle="Activity Factor" prompt="The output change value with respect to the clock cycle. An AF of 100% meant every positive edge (or every negative edge) of the clock, the output is change value" sqref="D4" xr:uid="{39F8DBFC-B4DE-459D-B3C5-D3A8760F4C28}"/>
    <dataValidation allowBlank="1" showInputMessage="1" showErrorMessage="1" promptTitle="Number of multiplier blocks" prompt="Valid range from 0 - 4" sqref="C4" xr:uid="{17E31D9E-C9FB-47DA-84F4-6AF62FE8544E}"/>
    <dataValidation type="whole" allowBlank="1" showInputMessage="1" showErrorMessage="1" error="Valid range from 0 - 4" sqref="C5:C23" xr:uid="{379AC506-5817-4557-A3DA-E05F00509195}">
      <formula1>0</formula1>
      <formula2>4</formula2>
    </dataValidation>
    <dataValidation type="decimal" operator="greaterThanOrEqual" allowBlank="1" showInputMessage="1" showErrorMessage="1" errorTitle="clock frequency" error="Valid number must be greater than or equal to 0" sqref="B5:B23" xr:uid="{6CC95FA6-FF81-434A-9BD2-F53ED0BE7EA5}">
      <formula1>0</formula1>
    </dataValidation>
    <dataValidation type="decimal" allowBlank="1" showInputMessage="1" showErrorMessage="1" error="Valid range from 0% - 100%" sqref="D5:D23" xr:uid="{722095D8-AF7B-439A-9CDF-C88E45DD23F3}">
      <formula1>0</formula1>
      <formula2>1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3"/>
  <sheetViews>
    <sheetView showGridLines="0" showRowColHeaders="0" zoomScaleNormal="100" workbookViewId="0">
      <selection sqref="A1:C1"/>
    </sheetView>
  </sheetViews>
  <sheetFormatPr defaultColWidth="9.109375" defaultRowHeight="14.4" x14ac:dyDescent="0.3"/>
  <cols>
    <col min="1" max="1" width="11.33203125" style="1" customWidth="1"/>
    <col min="2" max="2" width="23.44140625" style="1" customWidth="1"/>
    <col min="3" max="3" width="14.33203125" style="1" customWidth="1"/>
    <col min="4" max="4" width="13.5546875" style="1" customWidth="1"/>
    <col min="5" max="5" width="9.109375" style="1"/>
    <col min="6" max="7" width="14.5546875" style="1" bestFit="1" customWidth="1"/>
    <col min="8" max="16384" width="9.109375" style="1"/>
  </cols>
  <sheetData>
    <row r="1" spans="1:9" ht="25.8" x14ac:dyDescent="0.3">
      <c r="A1" s="156" t="s">
        <v>57</v>
      </c>
      <c r="B1" s="156"/>
      <c r="C1" s="156"/>
    </row>
    <row r="2" spans="1:9" ht="21" x14ac:dyDescent="0.4">
      <c r="A2" s="85" t="s">
        <v>35</v>
      </c>
      <c r="B2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2" s="87">
        <f>SUM(D5:D23)</f>
        <v>0</v>
      </c>
    </row>
    <row r="4" spans="1:9" s="7" customFormat="1" x14ac:dyDescent="0.3">
      <c r="A4" s="88" t="s">
        <v>58</v>
      </c>
      <c r="B4" s="88" t="s">
        <v>48</v>
      </c>
      <c r="C4" s="88" t="s">
        <v>59</v>
      </c>
      <c r="D4" s="88" t="s">
        <v>52</v>
      </c>
      <c r="G4"/>
      <c r="H4"/>
      <c r="I4"/>
    </row>
    <row r="5" spans="1:9" x14ac:dyDescent="0.3">
      <c r="A5" s="61"/>
      <c r="B5" s="61"/>
      <c r="C5" s="61"/>
      <c r="D5" s="60">
        <f t="shared" ref="D5:D23" si="0">IF(Package="Q144",IF(AND(C5&gt;0,C5&lt;=100),((0.00680841*($B$2^2)*B5)+((0.000545256*($B$2^2)*B5)*6)),IF(AND(C5&gt;100,C5&lt;=500),((0.00680841*($B$2^2)*B5)+((0.000545256*($B$2^2)*B5)*18)),IF(AND(C5&gt;500,C5&lt;=1000),((0.00680841*($B$2^2)*B5)+((0.000545256*($B$2^2)*B5)*20)),IF(AND(C5&gt;1000,C5&lt;=3000),((0.00680841*($B$2^2)*B5)+((0.000545256*($B$2^2)*B5)*43)),IF(AND(C5&gt;3000,C5&lt;=5000),((0.00680841*($B$2^2)*B5)+((0.000545256*($B$2^2)*B5)*115)),IF(AND(C5&gt;5000,C5&lt;=6500),((0.00680841*($B$2^2)*B5)+((0.000545256*($B$2^2)*B5)*171)),IF(AND(C5&gt;6500,C5&lt;=13920),((0.00680841*($B$2^2)*B5)+((0.000545256*($B$2^2)*B5)*174)),0))))))),IF(C5&lt;20,((0.0068*($B$2^2)*B5)+((0.000741*($B$2^2)*B5)*8)),IF(C5&lt;200,((0.0068*($B$2^2)*B5)+((0.000741*($B$2^2)*B5)*11)),IF(C5&lt;500,((0.0068*($B$2^2)*B5)+((0.000741*($B$2^2)*B5)*24)),IF(C5&lt;1000,((0.0068*($B$2^2)*B5)+((0.000741*($B$2^2)*B5)*30)),IF(C5&lt;2000,((0.0068*($B$2^2)*B5)+((0.000741*($B$2^2)*B5)*56)),((0.0068*($B$2^2)*B5)+((0.000741*($B$2^2)*B5)*66))))))))</f>
        <v>0</v>
      </c>
      <c r="G5"/>
      <c r="H5"/>
      <c r="I5"/>
    </row>
    <row r="6" spans="1:9" x14ac:dyDescent="0.3">
      <c r="A6" s="61"/>
      <c r="B6" s="61"/>
      <c r="C6" s="61"/>
      <c r="D6" s="60">
        <f t="shared" si="0"/>
        <v>0</v>
      </c>
      <c r="G6"/>
      <c r="H6"/>
      <c r="I6"/>
    </row>
    <row r="7" spans="1:9" x14ac:dyDescent="0.3">
      <c r="A7" s="61"/>
      <c r="B7" s="61"/>
      <c r="C7" s="61"/>
      <c r="D7" s="60">
        <f t="shared" si="0"/>
        <v>0</v>
      </c>
      <c r="G7" s="29"/>
      <c r="H7" s="29"/>
      <c r="I7"/>
    </row>
    <row r="8" spans="1:9" x14ac:dyDescent="0.3">
      <c r="A8" s="61"/>
      <c r="B8" s="61"/>
      <c r="C8" s="61"/>
      <c r="D8" s="60">
        <f t="shared" si="0"/>
        <v>0</v>
      </c>
      <c r="G8" s="30"/>
      <c r="H8" s="30"/>
      <c r="I8"/>
    </row>
    <row r="9" spans="1:9" x14ac:dyDescent="0.3">
      <c r="A9" s="61"/>
      <c r="B9" s="61"/>
      <c r="C9" s="61"/>
      <c r="D9" s="60">
        <f t="shared" si="0"/>
        <v>0</v>
      </c>
      <c r="G9" s="30"/>
      <c r="H9" s="30"/>
      <c r="I9"/>
    </row>
    <row r="10" spans="1:9" x14ac:dyDescent="0.3">
      <c r="A10" s="61"/>
      <c r="B10" s="61"/>
      <c r="C10" s="61"/>
      <c r="D10" s="60">
        <f t="shared" si="0"/>
        <v>0</v>
      </c>
      <c r="G10" s="30"/>
      <c r="H10" s="30"/>
      <c r="I10"/>
    </row>
    <row r="11" spans="1:9" hidden="1" x14ac:dyDescent="0.3">
      <c r="A11" s="61"/>
      <c r="B11" s="61"/>
      <c r="C11" s="61"/>
      <c r="D11" s="60">
        <f t="shared" si="0"/>
        <v>0</v>
      </c>
      <c r="G11" s="30"/>
      <c r="H11" s="30"/>
      <c r="I11"/>
    </row>
    <row r="12" spans="1:9" hidden="1" x14ac:dyDescent="0.3">
      <c r="A12" s="61"/>
      <c r="B12" s="61"/>
      <c r="C12" s="61"/>
      <c r="D12" s="60">
        <f t="shared" si="0"/>
        <v>0</v>
      </c>
      <c r="G12" s="30"/>
      <c r="H12" s="30"/>
      <c r="I12"/>
    </row>
    <row r="13" spans="1:9" hidden="1" x14ac:dyDescent="0.3">
      <c r="A13" s="61"/>
      <c r="B13" s="61"/>
      <c r="C13" s="61"/>
      <c r="D13" s="60">
        <f t="shared" si="0"/>
        <v>0</v>
      </c>
      <c r="G13" s="30"/>
      <c r="H13" s="30"/>
      <c r="I13"/>
    </row>
    <row r="14" spans="1:9" hidden="1" x14ac:dyDescent="0.3">
      <c r="A14" s="61"/>
      <c r="B14" s="61"/>
      <c r="C14" s="61"/>
      <c r="D14" s="60">
        <f t="shared" si="0"/>
        <v>0</v>
      </c>
      <c r="G14" s="30"/>
      <c r="H14" s="30"/>
      <c r="I14"/>
    </row>
    <row r="15" spans="1:9" hidden="1" x14ac:dyDescent="0.3">
      <c r="A15" s="61"/>
      <c r="B15" s="61"/>
      <c r="C15" s="61"/>
      <c r="D15" s="60">
        <f t="shared" si="0"/>
        <v>0</v>
      </c>
    </row>
    <row r="16" spans="1:9" hidden="1" x14ac:dyDescent="0.3">
      <c r="A16" s="61"/>
      <c r="B16" s="61"/>
      <c r="C16" s="61"/>
      <c r="D16" s="60">
        <f t="shared" si="0"/>
        <v>0</v>
      </c>
    </row>
    <row r="17" spans="1:4" hidden="1" x14ac:dyDescent="0.3">
      <c r="A17" s="61"/>
      <c r="B17" s="61"/>
      <c r="C17" s="61"/>
      <c r="D17" s="60">
        <f t="shared" si="0"/>
        <v>0</v>
      </c>
    </row>
    <row r="18" spans="1:4" hidden="1" x14ac:dyDescent="0.3">
      <c r="A18" s="61"/>
      <c r="B18" s="61"/>
      <c r="C18" s="61"/>
      <c r="D18" s="60">
        <f t="shared" si="0"/>
        <v>0</v>
      </c>
    </row>
    <row r="19" spans="1:4" hidden="1" x14ac:dyDescent="0.3">
      <c r="A19" s="61"/>
      <c r="B19" s="61"/>
      <c r="C19" s="61"/>
      <c r="D19" s="60">
        <f t="shared" si="0"/>
        <v>0</v>
      </c>
    </row>
    <row r="20" spans="1:4" hidden="1" x14ac:dyDescent="0.3">
      <c r="A20" s="61"/>
      <c r="B20" s="61"/>
      <c r="C20" s="61"/>
      <c r="D20" s="60">
        <f t="shared" si="0"/>
        <v>0</v>
      </c>
    </row>
    <row r="21" spans="1:4" hidden="1" x14ac:dyDescent="0.3">
      <c r="A21" s="61"/>
      <c r="B21" s="61"/>
      <c r="C21" s="61"/>
      <c r="D21" s="60">
        <f t="shared" si="0"/>
        <v>0</v>
      </c>
    </row>
    <row r="22" spans="1:4" hidden="1" x14ac:dyDescent="0.3">
      <c r="A22" s="61"/>
      <c r="B22" s="61"/>
      <c r="C22" s="61"/>
      <c r="D22" s="60">
        <f t="shared" si="0"/>
        <v>0</v>
      </c>
    </row>
    <row r="23" spans="1:4" hidden="1" x14ac:dyDescent="0.3">
      <c r="A23" s="61"/>
      <c r="B23" s="61"/>
      <c r="C23" s="61"/>
      <c r="D23" s="60">
        <f t="shared" si="0"/>
        <v>0</v>
      </c>
    </row>
  </sheetData>
  <sheetProtection algorithmName="SHA-512" hashValue="sm0YEBD+EDCpf8uWW+ZEvq0WfRcVFq5853o3Pw77hBtY1ecdkzbQ9nrJheybWheZysQzlvLNOe224HD4fCW10Q==" saltValue="7B041mbVLrRwQxDzyNqkCg==" spinCount="100000" sheet="1" objects="1" scenarios="1"/>
  <mergeCells count="1">
    <mergeCell ref="A1:C1"/>
  </mergeCells>
  <dataValidations xWindow="377" yWindow="507" count="3">
    <dataValidation allowBlank="1" showInputMessage="1" showErrorMessage="1" promptTitle="Total Fanout" prompt="Number of logic(FF) that clocked by a specific clock source" sqref="C4" xr:uid="{1007D617-AA67-40BC-A5E2-456003075DA4}"/>
    <dataValidation type="whole" allowBlank="1" showInputMessage="1" showErrorMessage="1" error="Valid range from 0 - 3888" sqref="C5:C23" xr:uid="{D5872793-9293-4E70-AA56-513AEB969C98}">
      <formula1>0</formula1>
      <formula2>3888</formula2>
    </dataValidation>
    <dataValidation type="decimal" operator="greaterThanOrEqual" allowBlank="1" showInputMessage="1" showErrorMessage="1" errorTitle="clock frequency" error="Valid number must be greater than or equal to 0" sqref="B5:B23" xr:uid="{CBC618D9-77CB-4196-85D0-B319D9001DC7}">
      <formula1>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H81"/>
  <sheetViews>
    <sheetView showGridLines="0" showRowColHeaders="0" topLeftCell="A34" zoomScaleNormal="100" workbookViewId="0">
      <selection activeCell="A34" sqref="A34:D34"/>
    </sheetView>
  </sheetViews>
  <sheetFormatPr defaultColWidth="9.109375" defaultRowHeight="14.4" x14ac:dyDescent="0.3"/>
  <cols>
    <col min="1" max="1" width="16.6640625" style="1" bestFit="1" customWidth="1"/>
    <col min="2" max="2" width="21.6640625" style="1" bestFit="1" customWidth="1"/>
    <col min="3" max="3" width="26.88671875" style="1" hidden="1" customWidth="1"/>
    <col min="4" max="4" width="15.109375" style="1" customWidth="1"/>
    <col min="5" max="5" width="16.88671875" style="1" bestFit="1" customWidth="1"/>
    <col min="6" max="6" width="10.88671875" style="1" bestFit="1" customWidth="1"/>
    <col min="7" max="7" width="22.88671875" style="1" customWidth="1"/>
    <col min="8" max="8" width="16.88671875" style="1" bestFit="1" customWidth="1"/>
    <col min="9" max="9" width="13.33203125" style="1" bestFit="1" customWidth="1"/>
    <col min="10" max="10" width="20.5546875" style="1" bestFit="1" customWidth="1"/>
    <col min="11" max="11" width="13.109375" style="1" customWidth="1"/>
    <col min="12" max="12" width="17.33203125" style="1" bestFit="1" customWidth="1"/>
    <col min="13" max="13" width="13.5546875" style="1" bestFit="1" customWidth="1"/>
    <col min="14" max="14" width="35.5546875" style="1" customWidth="1"/>
    <col min="15" max="15" width="20.6640625" style="1" bestFit="1" customWidth="1"/>
    <col min="16" max="16" width="12.33203125" style="1" hidden="1" customWidth="1"/>
    <col min="17" max="17" width="8.6640625" style="1" hidden="1" customWidth="1"/>
    <col min="18" max="18" width="10" style="1" hidden="1" customWidth="1"/>
    <col min="19" max="19" width="43.109375" style="1" customWidth="1"/>
    <col min="20" max="20" width="33.88671875" style="1" customWidth="1"/>
    <col min="21" max="21" width="50.44140625" style="1" customWidth="1"/>
    <col min="22" max="22" width="21.33203125" style="1" customWidth="1"/>
    <col min="23" max="23" width="9.109375" style="1" customWidth="1"/>
    <col min="24" max="26" width="5.6640625" style="1" customWidth="1"/>
    <col min="27" max="27" width="9.109375" style="1" customWidth="1"/>
    <col min="28" max="28" width="41.33203125" style="1" customWidth="1"/>
    <col min="29" max="32" width="12.6640625" style="1" customWidth="1"/>
    <col min="33" max="33" width="24.109375" style="1" customWidth="1"/>
    <col min="34" max="34" width="38.33203125" style="1" customWidth="1"/>
    <col min="35" max="45" width="9.109375" style="1" customWidth="1"/>
    <col min="46" max="16384" width="9.109375" style="1"/>
  </cols>
  <sheetData>
    <row r="1" spans="1:34" ht="25.8" hidden="1" x14ac:dyDescent="0.3">
      <c r="A1" s="159" t="s">
        <v>60</v>
      </c>
      <c r="B1" s="160"/>
      <c r="C1" s="160"/>
      <c r="D1" s="161"/>
      <c r="E1" s="52"/>
      <c r="F1" s="26"/>
      <c r="M1" s="58"/>
      <c r="N1" s="58"/>
      <c r="O1" s="59"/>
      <c r="P1" s="142"/>
      <c r="Q1" s="142"/>
      <c r="R1" s="142"/>
      <c r="S1" s="142"/>
      <c r="AB1" s="58"/>
      <c r="AC1" s="58"/>
      <c r="AD1" s="142"/>
      <c r="AE1" s="142"/>
      <c r="AF1" s="9"/>
      <c r="AG1" s="35"/>
      <c r="AH1" s="35"/>
    </row>
    <row r="2" spans="1:34" ht="25.8" hidden="1" x14ac:dyDescent="0.3">
      <c r="A2" s="81" t="s">
        <v>35</v>
      </c>
      <c r="B2" s="4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D2" s="11">
        <f>IF(Package="Q144",SUM(R9:R18)+SUM(T9:T18)+SUM(AD9:AD18)+SUM(AF9:AF18),0)</f>
        <v>0</v>
      </c>
      <c r="E2" s="53"/>
      <c r="O2"/>
      <c r="Q2" s="26"/>
      <c r="R2" s="57"/>
      <c r="AB2" s="3"/>
      <c r="AC2" s="3"/>
      <c r="AF2" s="3"/>
      <c r="AG2" s="34"/>
      <c r="AH2" s="34"/>
    </row>
    <row r="3" spans="1:34" ht="21" hidden="1" x14ac:dyDescent="0.3">
      <c r="A3" s="81" t="s">
        <v>61</v>
      </c>
      <c r="B3" s="4">
        <f>IF(calTotal!E10="Nominal",1.8,IF(calTotal!E10="Minimum",1.71,IF(calTotal!E10="Maximum",1.89,"Invalid")))</f>
        <v>1.8</v>
      </c>
      <c r="D3" s="11">
        <f>IF(Package="Q144",SUM(X9:X18),0)</f>
        <v>0</v>
      </c>
      <c r="E3" s="53"/>
      <c r="O3"/>
      <c r="AB3" s="3"/>
      <c r="AC3" s="3"/>
    </row>
    <row r="4" spans="1:34" ht="21" hidden="1" x14ac:dyDescent="0.3">
      <c r="A4" s="81" t="s">
        <v>61</v>
      </c>
      <c r="B4" s="4">
        <f>IF(calTotal!E10="Nominal",2.5,IF(calTotal!E10="Minimum",2.375,IF(calTotal!E10="Maximum",2.625,"Invalid")))</f>
        <v>2.5</v>
      </c>
      <c r="D4" s="11">
        <f>IF(Package="Q144",SUM(Y9:Y18),0)</f>
        <v>0</v>
      </c>
      <c r="E4" s="53"/>
      <c r="O4"/>
    </row>
    <row r="5" spans="1:34" ht="21" hidden="1" x14ac:dyDescent="0.3">
      <c r="A5" s="81" t="s">
        <v>61</v>
      </c>
      <c r="B5" s="4">
        <f>IF(calTotal!E10="Nominal",3.3,IF(calTotal!E10="Minimum",3.135,IF(calTotal!E10="Maximum",3.465,"Invalid")))</f>
        <v>3.3</v>
      </c>
      <c r="D5" s="11">
        <f>IF(Package="Q144",SUM(Q9:Q18)+SUM(Z9:Z18)+SUM(AC9:AC18)+SUM(AE9:AE18),0)</f>
        <v>0</v>
      </c>
      <c r="E5" s="53"/>
      <c r="O5"/>
    </row>
    <row r="6" spans="1:34" ht="21" hidden="1" x14ac:dyDescent="0.4">
      <c r="A6" s="157" t="s">
        <v>62</v>
      </c>
      <c r="B6" s="158"/>
      <c r="D6" s="5">
        <f>SUM(D3:D5)</f>
        <v>0</v>
      </c>
      <c r="E6" s="54"/>
      <c r="Q6" s="58" t="s">
        <v>63</v>
      </c>
      <c r="R6" s="58" t="s">
        <v>63</v>
      </c>
      <c r="S6" s="58" t="s">
        <v>63</v>
      </c>
      <c r="T6" s="58" t="s">
        <v>63</v>
      </c>
      <c r="U6" s="58" t="s">
        <v>64</v>
      </c>
      <c r="V6" s="58" t="s">
        <v>97</v>
      </c>
      <c r="AC6" s="1" t="s">
        <v>65</v>
      </c>
      <c r="AD6" s="1" t="s">
        <v>65</v>
      </c>
      <c r="AE6" s="1" t="s">
        <v>65</v>
      </c>
      <c r="AF6" s="1" t="s">
        <v>65</v>
      </c>
    </row>
    <row r="7" spans="1:34" hidden="1" x14ac:dyDescent="0.3">
      <c r="Q7" s="58" t="s">
        <v>61</v>
      </c>
      <c r="R7" s="58" t="s">
        <v>35</v>
      </c>
      <c r="S7" s="58" t="s">
        <v>66</v>
      </c>
      <c r="T7" s="58" t="s">
        <v>35</v>
      </c>
      <c r="U7" s="58" t="s">
        <v>66</v>
      </c>
      <c r="V7" s="58" t="s">
        <v>98</v>
      </c>
      <c r="X7" s="1" t="s">
        <v>67</v>
      </c>
      <c r="AC7" s="1" t="s">
        <v>61</v>
      </c>
      <c r="AD7" s="1" t="s">
        <v>35</v>
      </c>
      <c r="AE7" s="1" t="s">
        <v>61</v>
      </c>
      <c r="AF7" s="1" t="s">
        <v>35</v>
      </c>
    </row>
    <row r="8" spans="1:34" s="9" customFormat="1" hidden="1" x14ac:dyDescent="0.3">
      <c r="A8" s="6" t="s">
        <v>47</v>
      </c>
      <c r="B8" s="6" t="s">
        <v>68</v>
      </c>
      <c r="C8" s="6" t="s">
        <v>69</v>
      </c>
      <c r="D8" s="6" t="s">
        <v>70</v>
      </c>
      <c r="E8" s="6" t="s">
        <v>71</v>
      </c>
      <c r="F8" s="6" t="s">
        <v>72</v>
      </c>
      <c r="G8" s="6" t="s">
        <v>73</v>
      </c>
      <c r="H8" s="12" t="s">
        <v>74</v>
      </c>
      <c r="I8" s="13" t="s">
        <v>75</v>
      </c>
      <c r="J8" s="14" t="s">
        <v>48</v>
      </c>
      <c r="K8" s="15" t="s">
        <v>76</v>
      </c>
      <c r="L8" s="15" t="s">
        <v>110</v>
      </c>
      <c r="M8" s="12" t="s">
        <v>51</v>
      </c>
      <c r="N8" s="6" t="s">
        <v>52</v>
      </c>
      <c r="P8" s="9" t="s">
        <v>77</v>
      </c>
      <c r="Q8" s="9" t="s">
        <v>78</v>
      </c>
      <c r="R8" s="9" t="s">
        <v>78</v>
      </c>
      <c r="S8" s="9" t="s">
        <v>78</v>
      </c>
      <c r="T8" s="9" t="s">
        <v>79</v>
      </c>
      <c r="U8" s="58" t="s">
        <v>80</v>
      </c>
      <c r="V8" s="58" t="s">
        <v>99</v>
      </c>
      <c r="X8" s="9">
        <v>1.8</v>
      </c>
      <c r="Y8" s="9">
        <v>2.5</v>
      </c>
      <c r="Z8" s="9">
        <v>3.3</v>
      </c>
      <c r="AC8" s="9" t="s">
        <v>78</v>
      </c>
      <c r="AD8" s="9" t="s">
        <v>78</v>
      </c>
      <c r="AE8" s="9" t="s">
        <v>79</v>
      </c>
      <c r="AF8" s="9" t="s">
        <v>79</v>
      </c>
    </row>
    <row r="9" spans="1:34" hidden="1" x14ac:dyDescent="0.3">
      <c r="A9" s="61"/>
      <c r="B9" s="61" t="s">
        <v>86</v>
      </c>
      <c r="C9" s="61"/>
      <c r="D9" s="66">
        <v>0</v>
      </c>
      <c r="E9" s="66">
        <v>2</v>
      </c>
      <c r="F9" s="82"/>
      <c r="G9" s="65"/>
      <c r="H9" s="68"/>
      <c r="I9" s="67" t="s">
        <v>83</v>
      </c>
      <c r="J9" s="65"/>
      <c r="K9" s="68">
        <v>1.2</v>
      </c>
      <c r="L9" s="69">
        <v>100</v>
      </c>
      <c r="M9" s="70">
        <v>12.5</v>
      </c>
      <c r="N9" s="8">
        <f>IF(B9="3.3V LVDS", V9,P9)</f>
        <v>0</v>
      </c>
      <c r="P9" s="10">
        <f>IF(I9="SDR",IF(B9="1.8V LVCMOS",(((1/2)*K9*($B$3^2)*J9*G9)*((M9*0.01)*(L9*0.01))+((1/2)*K9*($B$3^2)*J9*H9)*((M9*0.01)*(L9*0.01)))*0.00105,IF(B9="2.5V LVCMOS",(((1/2)*K9*($B$4^2)*J9*G9)*((M9*0.01)*(L9*0.01))+((1/2)*K9*($B$4^2)*J9*H9)*((M9*0.01)*(L9*0.01)))*0.00105,IF(B9="3.3V LVCMOS",(((1/2)*K9*($B$5^2)*J9*G9)*((M9*0.01)*(L9*0.01))+((1/2)*K9*($B$5^2)*J9*H9)*((M9*0.01)*(L9*0.01)))*0.00105,IF(B9="3.3V LVTTL",(((1/2)*K9*($B$5^2)*J9*G9)*((M9*0.01)*(L9*0.01))+((1/2)*K9*($B$5^2)*J9*H9)*((M9*0.01)*(L9*0.01)))*0.00105,IF(B9="3.3V LVDS as GPIO",(((1/2)*K9*($B$5^2)*J9*G9)*((M9*0.01)*(L9*0.01))+((1/2)*K9*($B$5^2)*J9*H9)*((M9*0.01)*(L9*0.01)))*0.00105,0))))),IF(B9="1.8V LVCMOS",((K9*($B$3^2)*J9*G9)*((M9*0.01)*(L9*0.01))+(K9*($B$3^2)*J9*H9)*((M9*0.01)*(L9*0.01)))*0.00105,IF(B9="2.5V LVCMOS",((K9*($B$4^2)*J9*G9)*((M9*0.01)*(L9*0.01))+(K9*($B$4^2)*J9*H9)*((M9*0.01)*(L9*0.01)))*0.00105,IF(B9="3.3V LVCMOS",((K9*($B$5^2)*J9*G9)*((M9*0.01)*(L9*0.01))+(K9*($B$5^2)*J9*H9)*((M9*0.01)*(L9*0.01)))*0.00105,IF(B9="3.3V LVTTL",((K9*($B$5^2)*J9*G9)*((M9*0.01)*(L9*0.01))+(K9*($B$5^2)*J9*H9)*((M9*0.01)*(L9*0.01)))*0.00105,IF(B9="3.3V LVDS as GPIO",((K9*($B$5^2)*J9*G9)*((M9*0.01)*(L9*0.01))+(K9*($B$5^2)*J9*H9)*((M9*0.01)*(L9*0.01)))*0.00105,0))))))</f>
        <v>0</v>
      </c>
      <c r="Q9" s="27">
        <f>IF(B9="3.3V LVDS",IF(I9="DDR",IF(D9=0,IF(E9=0,(0.012516/$B$5)*($B$5^2)*J9*(M9*0.01)*G9*(L9*0.01),IF(E9=1,(0.014873/$B$5)*($B$5^2)*J9*(M9*0.01)*G9*(L9*0.01),IF(E9=2,(0.016707/$B$5)*($B$5^2)*J9*(M9*0.01)*G9*(L9*0.01),IF(E9=3,(0.019436/$B$5)*($B$5^2)*J9*(M9*0.01)*G9*(L9*0.01),0)))),IF(E9=0,(0.012498/$B$5)*($B$5^2)*J9*(M9*0.01)*G9*(L9*0.01),IF(E9=1,(0.01487/$B$5)*($B$5^2)*J9*(M9*0.01)*G9*(L9*0.01),IF(E9=2,(0.016765/$B$5)*($B$5^2)*J9*(M9*0.01)*G9*(L9*0.01),IF(E9=3,(0.019452/$B$5)*($B$5^2)*J9*(M9*0.01)*G9*(L9*0.01),0))))),0),0)</f>
        <v>0</v>
      </c>
      <c r="R9" s="27">
        <f>IF(B9="3.3V LVDS",IF(I9="DDR",IF(D9=0,IF(E9=0,(0.00618725*($B$2^2))*J9*(M9*0.01)*G9*(L9*0.01),IF(E9=1,(0.00641858*($B$2^2))*J9*(M9*0.01)*G9*(L9*0.01),IF(E9=2,(0.00651042*($B$2^2))*J9*(M9*0.01)*G9*(L9*0.01),IF(E9=3,(0.00626092*($B$2^2))*J9*(M9*0.01)*G9*(L9*0.01),0)))),IF(E9=0,(0.00630658*($B$2^2))*J9*(M9*0.01)*G9*(L9*0.01),IF(E9=1,(0.00694492*($B$2^2))*J9*(M9*0.01)*G9*(L9*0.01),IF(E9=2,(0.00707492*($B$2^2))*J9*(M9*0.01)*G9*(L9*0.01),IF(E9=3,(0.00653092*($B$2^2))*J9*(M9*0.01)*G9*(L9*0.01),0))))),0),0)</f>
        <v>0</v>
      </c>
      <c r="S9" s="27">
        <f>Q9+R9</f>
        <v>0</v>
      </c>
      <c r="T9" s="32">
        <f>IF(B9="3.3V LVDS",IF(I9="DDR",IF(F9&gt;0,(0.0108333*($B$2^2)*J9*(M9*0.01)*F9)+(1.4583*$B$2^2),0),0),0)</f>
        <v>0</v>
      </c>
      <c r="U9" s="32">
        <f>S9+T9</f>
        <v>0</v>
      </c>
      <c r="V9" s="27">
        <f>U9+SUM(AC9:AF9)</f>
        <v>0</v>
      </c>
      <c r="X9" s="32">
        <f t="shared" ref="X9:X18" si="0">IF(I9="SDR",IF(B9="1.8V LVCMOS",(((1/2)*K9*($B$3^2)*J9*G9)*((M9*0.01)*(L9*0.01))+((1/2)*K9*($B$3^2)*J9*H9)*((M9*0.01)*(L9*0.01)))*0.00105,0),IF(B9="1.8V LVCMOS",((K9*($B$3^2)*J9*G9)*((M9*0.01)*(L9*0.01))+(K9*($B$3^2)*J9*H9)*((M9*0.01)*(L9*0.01)))*0.00105,0))</f>
        <v>0</v>
      </c>
      <c r="Y9" s="32">
        <f t="shared" ref="Y9:Y18" si="1">IF(I9="SDR",IF(B9="2.5V LVCMOS",(((1/2)*K9*($B$4^2)*J9*G9)*((M9*0.01)*(L9*0.01))+((1/2)*K9*($B$4^2)*J9*H9)*((M9*0.01)*(L9*0.01)))*0.00105,0),IF(B9="2.5V LVCMOS",((K9*($B$4^2)*J9*G9)*((M9*0.01)*(L9*0.01))+(K9*($B$4^2)*J9*H9)*((M9*0.01)*(L9*0.01)))*0.00105,0))</f>
        <v>0</v>
      </c>
      <c r="Z9" s="27">
        <f t="shared" ref="Z9:Z18" si="2">IF(I9="SDR",IF(B9="3.3V LVCMOS",(((1/2)*K9*($B$5^2)*J9*G9)*((M9*0.01)*(L9*0.01))+((1/2)*K9*($B$5^2)*J9*H9)*((M9*0.01)*(L9*0.01)))*0.00105,IF(B9="3.3V LVTTL",(((1/2)*K9*($B$5^2)*J9*G9)*((M9*0.01)*(L9*0.01))+((1/2)*K9*($B$5^2)*J9*H9)*((M9*0.01)*(L9*0.01)))*0.00105,IF(B9="3.3V LVDS as GPIO",(((1/2)*K9*($B$5^2)*J9*G9)*((M9*0.01)*(L9*0.01))+((1/2)*K9*($B$5^2)*J9*H9)*((M9*0.01)*(L9*0.01)))*0.00105,0))),IF(B9="3.3V LVCMOS",((K9*($B$5^2)*J9*G9)*((M9*0.01)*(L9*0.01))+(K9*($B$5^2)*J9*H9)*((M9*0.01)*(L9*0.01)))*0.00105,IF(B9="3.3V LVTTL",((K9*($B$5^2)*J9*G9)*((M9*0.01)*(L9*0.01))+(K9*($B$5^2)*J9*H9)*((M9*0.01)*(L9*0.01)))*0.00105,IF(B9="3.3V LVDS as GPIO",((K9*($B$5^2)*J9*G9)*((M9*0.01)*(L9*0.01))+(K9*($B$5^2)*J9*H9)*((M9*0.01)*(L9*0.01)))*0.00105,0))))</f>
        <v>0</v>
      </c>
      <c r="AC9" s="33">
        <f>IF(B9="3.3V LVDS", IF(I9="DDR",IF(D9=0,(4.543/$B$5)*$B$5^2*G9,(2.937/$B$5)*$B$5^2*G9),0),0)</f>
        <v>0</v>
      </c>
      <c r="AD9" s="27">
        <f>IF(B9="3.3V LVDS", IF(I9="DDR",IF(D9=0,0.165*$B$2^2*G9,(0.1317*$B$2^2*G9)),0),0)</f>
        <v>0</v>
      </c>
      <c r="AE9" s="27">
        <f>IF(B9="3.3V LVDS",IF(I9="DDR",(0.707/$B$5)*$B$5^2*F9,0),0)</f>
        <v>0</v>
      </c>
      <c r="AF9" s="27">
        <f>IF(B9="3.3V LVDS",IF(I9="DDR",0.60583*$B$2^2*F9,0),0)</f>
        <v>0</v>
      </c>
    </row>
    <row r="10" spans="1:34" hidden="1" x14ac:dyDescent="0.3">
      <c r="A10" s="61"/>
      <c r="B10" s="61" t="s">
        <v>88</v>
      </c>
      <c r="C10" s="61"/>
      <c r="D10" s="66">
        <v>0</v>
      </c>
      <c r="E10" s="66">
        <v>0</v>
      </c>
      <c r="F10" s="82"/>
      <c r="G10" s="65"/>
      <c r="H10" s="68"/>
      <c r="I10" s="71" t="s">
        <v>82</v>
      </c>
      <c r="J10" s="65"/>
      <c r="K10" s="68">
        <v>1.2</v>
      </c>
      <c r="L10" s="69">
        <v>100</v>
      </c>
      <c r="M10" s="70">
        <v>12.5</v>
      </c>
      <c r="N10" s="8">
        <f t="shared" ref="N10:N18" si="3">IF(B10="3.3V LVDS", V10,P10)</f>
        <v>0</v>
      </c>
      <c r="P10" s="10">
        <f t="shared" ref="P10:P18" si="4">IF(I10="SDR",IF(B10="1.8V LVCMOS",(((1/2)*K10*($B$3^2)*J10*G10)*((M10*0.01)*(L10*0.01))+((1/2)*K10*($B$3^2)*J10*H10)*((M10*0.01)*(L10*0.01)))*0.00105,IF(B10="2.5V LVCMOS",(((1/2)*K10*($B$4^2)*J10*G10)*((M10*0.01)*(L10*0.01))+((1/2)*K10*($B$4^2)*J10*H10)*((M10*0.01)*(L10*0.01)))*0.00105,IF(B10="3.3V LVCMOS",(((1/2)*K10*($B$5^2)*J10*G10)*((M10*0.01)*(L10*0.01))+((1/2)*K10*($B$5^2)*J10*H10)*((M10*0.01)*(L10*0.01)))*0.00105,IF(B10="3.3V LVTTL",(((1/2)*K10*($B$5^2)*J10*G10)*((M10*0.01)*(L10*0.01))+((1/2)*K10*($B$5^2)*J10*H10)*((M10*0.01)*(L10*0.01)))*0.00105,IF(B10="3.3V LVDS as GPIO",(((1/2)*K10*($B$5^2)*J10*G10)*((M10*0.01)*(L10*0.01))+((1/2)*K10*($B$5^2)*J10*H10)*((M10*0.01)*(L10*0.01)))*0.00105,0))))),IF(B10="1.8V LVCMOS",((K10*($B$3^2)*J10*G10)*((M10*0.01)*(L10*0.01))+(K10*($B$3^2)*J10*H10)*((M10*0.01)*(L10*0.01)))*0.00105,IF(B10="2.5V LVCMOS",((K10*($B$4^2)*J10*G10)*((M10*0.01)*(L10*0.01))+(K10*($B$4^2)*J10*H10)*((M10*0.01)*(L10*0.01)))*0.00105,IF(B10="3.3V LVCMOS",((K10*($B$5^2)*J10*G10)*((M10*0.01)*(L10*0.01))+(K10*($B$5^2)*J10*H10)*((M10*0.01)*(L10*0.01)))*0.00105,IF(B10="3.3V LVTTL",((K10*($B$5^2)*J10*G10)*((M10*0.01)*(L10*0.01))+(K10*($B$5^2)*J10*H10)*((M10*0.01)*(L10*0.01)))*0.00105,IF(B10="3.3V LVDS as GPIO",((K10*($B$5^2)*J10*G10)*((M10*0.01)*(L10*0.01))+(K10*($B$5^2)*J10*H10)*((M10*0.01)*(L10*0.01)))*0.00105,0))))))</f>
        <v>0</v>
      </c>
      <c r="Q10" s="27">
        <f t="shared" ref="Q10:Q18" si="5">IF(B10="3.3V LVDS",IF(I10="DDR",IF(D10=0,IF(E10=0,(0.012516/$B$5)*($B$5^2)*J10*(M10*0.01)*G10*(L10*0.01),IF(E10=1,(0.014873/$B$5)*($B$5^2)*J10*(M10*0.01)*G10*(L10*0.01),IF(E10=2,(0.016707/$B$5)*($B$5^2)*J10*(M10*0.01)*G10*(L10*0.01),IF(E10=3,(0.019436/$B$5)*($B$5^2)*J10*(M10*0.01)*G10*(L10*0.01),0)))),IF(E10=0,(0.012498/$B$5)*($B$5^2)*J10*(M10*0.01)*G10*(L10*0.01),IF(E10=1,(0.01487/$B$5)*($B$5^2)*J10*(M10*0.01)*G10*(L10*0.01),IF(E10=2,(0.016765/$B$5)*($B$5^2)*J10*(M10*0.01)*G10*(L10*0.01),IF(E10=3,(0.019452/$B$5)*($B$5^2)*J10*(M10*0.01)*G10*(L10*0.01),0))))),0),0)</f>
        <v>0</v>
      </c>
      <c r="R10" s="27">
        <f t="shared" ref="R10:R18" si="6">IF(B10="3.3V LVDS",IF(I10="DDR",IF(D10=0,IF(E10=0,(0.00618725*($B$2^2))*J10*(M10*0.01)*G10*(L10*0.01),IF(E10=1,(0.00641858*($B$2^2))*J10*(M10*0.01)*G10*(L10*0.01),IF(E10=2,(0.00651042*($B$2^2))*J10*(M10*0.01)*G10*(L10*0.01),IF(E10=3,(0.00626092*($B$2^2))*J10*(M10*0.01)*G10*(L10*0.01),0)))),IF(E10=0,(0.00630658*($B$2^2))*J10*(M10*0.01)*G10*(L10*0.01),IF(E10=1,(0.00694492*($B$2^2))*J10*(M10*0.01)*G10*(L10*0.01),IF(E10=2,(0.00707492*($B$2^2))*J10*(M10*0.01)*G10*(L10*0.01),IF(E10=3,(0.00653092*($B$2^2))*J10*(M10*0.01)*G10*(L10*0.01),0))))),0),0)</f>
        <v>0</v>
      </c>
      <c r="S10" s="27">
        <f t="shared" ref="S10:S18" si="7">Q10+R10</f>
        <v>0</v>
      </c>
      <c r="T10" s="32">
        <f t="shared" ref="T10:T18" si="8">IF(B10="3.3V LVDS",IF(I10="DDR",IF(F10&gt;0,(0.0108333*($B$2^2)*J10*(M10*0.01)*F10)+(1.4583*$B$2^2),0),0),0)</f>
        <v>0</v>
      </c>
      <c r="U10" s="32">
        <f t="shared" ref="U10:U18" si="9">S10+T10</f>
        <v>0</v>
      </c>
      <c r="V10" s="27">
        <f t="shared" ref="V10:V18" si="10">U10+SUM(AC10:AF10)</f>
        <v>0</v>
      </c>
      <c r="X10" s="32">
        <f t="shared" si="0"/>
        <v>0</v>
      </c>
      <c r="Y10" s="32">
        <f t="shared" si="1"/>
        <v>0</v>
      </c>
      <c r="Z10" s="27">
        <f t="shared" si="2"/>
        <v>0</v>
      </c>
      <c r="AC10" s="33">
        <f t="shared" ref="AC10:AC18" si="11">IF(B10="3.3V LVDS", IF(I10="DDR",IF(D10=0,(4.543/$B$5)*$B$5^2*G10,(2.937/$B$5)*$B$5^2*G10),0),0)</f>
        <v>0</v>
      </c>
      <c r="AD10" s="27">
        <f t="shared" ref="AD10:AD18" si="12">IF(B10="3.3V LVDS", IF(I10="DDR",IF(D10=0,0.165*$B$2^2*G10,(0.1317*$B$2^2*G10)),0),0)</f>
        <v>0</v>
      </c>
      <c r="AE10" s="27">
        <f t="shared" ref="AE10:AE18" si="13">IF(B10="3.3V LVDS",IF(I10="DDR",(0.707/$B$5)*$B$5^2*F10,0),0)</f>
        <v>0</v>
      </c>
      <c r="AF10" s="27">
        <f t="shared" ref="AF10:AF18" si="14">IF(B10="3.3V LVDS",IF(I10="DDR",0.60583*$B$2^2*F10,0),0)</f>
        <v>0</v>
      </c>
    </row>
    <row r="11" spans="1:34" hidden="1" x14ac:dyDescent="0.3">
      <c r="A11" s="61"/>
      <c r="B11" s="61" t="s">
        <v>85</v>
      </c>
      <c r="C11" s="61"/>
      <c r="D11" s="66">
        <v>0</v>
      </c>
      <c r="E11" s="66">
        <v>2</v>
      </c>
      <c r="F11" s="82"/>
      <c r="G11" s="65"/>
      <c r="H11" s="68"/>
      <c r="I11" s="71" t="s">
        <v>82</v>
      </c>
      <c r="J11" s="65"/>
      <c r="K11" s="68">
        <v>1.2</v>
      </c>
      <c r="L11" s="69">
        <v>100</v>
      </c>
      <c r="M11" s="70">
        <v>12.5</v>
      </c>
      <c r="N11" s="8">
        <f t="shared" si="3"/>
        <v>0</v>
      </c>
      <c r="P11" s="10">
        <f t="shared" si="4"/>
        <v>0</v>
      </c>
      <c r="Q11" s="27">
        <f t="shared" si="5"/>
        <v>0</v>
      </c>
      <c r="R11" s="27">
        <f t="shared" si="6"/>
        <v>0</v>
      </c>
      <c r="S11" s="27">
        <f t="shared" si="7"/>
        <v>0</v>
      </c>
      <c r="T11" s="32">
        <f t="shared" si="8"/>
        <v>0</v>
      </c>
      <c r="U11" s="32">
        <f t="shared" si="9"/>
        <v>0</v>
      </c>
      <c r="V11" s="27">
        <f t="shared" si="10"/>
        <v>0</v>
      </c>
      <c r="X11" s="32">
        <f t="shared" si="0"/>
        <v>0</v>
      </c>
      <c r="Y11" s="32">
        <f t="shared" si="1"/>
        <v>0</v>
      </c>
      <c r="Z11" s="27">
        <f t="shared" si="2"/>
        <v>0</v>
      </c>
      <c r="AC11" s="33">
        <f t="shared" si="11"/>
        <v>0</v>
      </c>
      <c r="AD11" s="27">
        <f t="shared" si="12"/>
        <v>0</v>
      </c>
      <c r="AE11" s="27">
        <f t="shared" si="13"/>
        <v>0</v>
      </c>
      <c r="AF11" s="27">
        <f t="shared" si="14"/>
        <v>0</v>
      </c>
    </row>
    <row r="12" spans="1:34" hidden="1" x14ac:dyDescent="0.3">
      <c r="A12" s="61"/>
      <c r="B12" s="61" t="s">
        <v>85</v>
      </c>
      <c r="C12" s="61"/>
      <c r="D12" s="66">
        <v>0</v>
      </c>
      <c r="E12" s="66">
        <v>0</v>
      </c>
      <c r="F12" s="82"/>
      <c r="G12" s="65"/>
      <c r="H12" s="68"/>
      <c r="I12" s="71" t="str">
        <f>IF(B12="3.3V LVDS","DDR","SDR")</f>
        <v>SDR</v>
      </c>
      <c r="J12" s="65"/>
      <c r="K12" s="68">
        <v>1.2</v>
      </c>
      <c r="L12" s="69">
        <v>100</v>
      </c>
      <c r="M12" s="70">
        <v>12.5</v>
      </c>
      <c r="N12" s="8">
        <f t="shared" si="3"/>
        <v>0</v>
      </c>
      <c r="P12" s="10">
        <f t="shared" si="4"/>
        <v>0</v>
      </c>
      <c r="Q12" s="27">
        <f t="shared" si="5"/>
        <v>0</v>
      </c>
      <c r="R12" s="27">
        <f t="shared" si="6"/>
        <v>0</v>
      </c>
      <c r="S12" s="27">
        <f t="shared" si="7"/>
        <v>0</v>
      </c>
      <c r="T12" s="32">
        <f t="shared" si="8"/>
        <v>0</v>
      </c>
      <c r="U12" s="32">
        <f t="shared" si="9"/>
        <v>0</v>
      </c>
      <c r="V12" s="27">
        <f t="shared" si="10"/>
        <v>0</v>
      </c>
      <c r="X12" s="32">
        <f t="shared" si="0"/>
        <v>0</v>
      </c>
      <c r="Y12" s="32">
        <f t="shared" si="1"/>
        <v>0</v>
      </c>
      <c r="Z12" s="27">
        <f t="shared" si="2"/>
        <v>0</v>
      </c>
      <c r="AC12" s="33">
        <f t="shared" si="11"/>
        <v>0</v>
      </c>
      <c r="AD12" s="27">
        <f t="shared" si="12"/>
        <v>0</v>
      </c>
      <c r="AE12" s="27">
        <f t="shared" si="13"/>
        <v>0</v>
      </c>
      <c r="AF12" s="27">
        <f t="shared" si="14"/>
        <v>0</v>
      </c>
    </row>
    <row r="13" spans="1:34" hidden="1" x14ac:dyDescent="0.3">
      <c r="A13" s="61"/>
      <c r="B13" s="61" t="s">
        <v>81</v>
      </c>
      <c r="C13" s="61"/>
      <c r="D13" s="66">
        <v>0</v>
      </c>
      <c r="E13" s="66">
        <v>0</v>
      </c>
      <c r="F13" s="82"/>
      <c r="G13" s="65"/>
      <c r="H13" s="68"/>
      <c r="I13" s="71" t="str">
        <f t="shared" ref="I13:I18" si="15">IF(B13="3.3V LVDS","DDR","SDR")</f>
        <v>DDR</v>
      </c>
      <c r="J13" s="65"/>
      <c r="K13" s="68">
        <v>1.2</v>
      </c>
      <c r="L13" s="69">
        <v>100</v>
      </c>
      <c r="M13" s="70">
        <v>12.5</v>
      </c>
      <c r="N13" s="8">
        <f t="shared" si="3"/>
        <v>0</v>
      </c>
      <c r="P13" s="10">
        <f t="shared" si="4"/>
        <v>0</v>
      </c>
      <c r="Q13" s="27">
        <f t="shared" si="5"/>
        <v>0</v>
      </c>
      <c r="R13" s="27">
        <f t="shared" si="6"/>
        <v>0</v>
      </c>
      <c r="S13" s="27">
        <f t="shared" si="7"/>
        <v>0</v>
      </c>
      <c r="T13" s="32">
        <f t="shared" si="8"/>
        <v>0</v>
      </c>
      <c r="U13" s="32">
        <f t="shared" si="9"/>
        <v>0</v>
      </c>
      <c r="V13" s="27">
        <f t="shared" si="10"/>
        <v>0</v>
      </c>
      <c r="X13" s="32">
        <f t="shared" si="0"/>
        <v>0</v>
      </c>
      <c r="Y13" s="32">
        <f t="shared" si="1"/>
        <v>0</v>
      </c>
      <c r="Z13" s="27">
        <f t="shared" si="2"/>
        <v>0</v>
      </c>
      <c r="AC13" s="33">
        <f t="shared" si="11"/>
        <v>0</v>
      </c>
      <c r="AD13" s="27">
        <f t="shared" si="12"/>
        <v>0</v>
      </c>
      <c r="AE13" s="27">
        <f t="shared" si="13"/>
        <v>0</v>
      </c>
      <c r="AF13" s="27">
        <f t="shared" si="14"/>
        <v>0</v>
      </c>
    </row>
    <row r="14" spans="1:34" hidden="1" x14ac:dyDescent="0.3">
      <c r="A14" s="61"/>
      <c r="B14" s="61" t="s">
        <v>81</v>
      </c>
      <c r="C14" s="61"/>
      <c r="D14" s="66">
        <v>0</v>
      </c>
      <c r="E14" s="66">
        <v>0</v>
      </c>
      <c r="F14" s="82"/>
      <c r="G14" s="65"/>
      <c r="H14" s="68"/>
      <c r="I14" s="71" t="str">
        <f t="shared" si="15"/>
        <v>DDR</v>
      </c>
      <c r="J14" s="65"/>
      <c r="K14" s="68">
        <v>1.2</v>
      </c>
      <c r="L14" s="69">
        <v>100</v>
      </c>
      <c r="M14" s="70">
        <v>12.5</v>
      </c>
      <c r="N14" s="8">
        <f t="shared" si="3"/>
        <v>0</v>
      </c>
      <c r="P14" s="10">
        <f t="shared" si="4"/>
        <v>0</v>
      </c>
      <c r="Q14" s="27">
        <f t="shared" si="5"/>
        <v>0</v>
      </c>
      <c r="R14" s="27">
        <f t="shared" si="6"/>
        <v>0</v>
      </c>
      <c r="S14" s="27">
        <f t="shared" si="7"/>
        <v>0</v>
      </c>
      <c r="T14" s="32">
        <f t="shared" si="8"/>
        <v>0</v>
      </c>
      <c r="U14" s="32">
        <f t="shared" si="9"/>
        <v>0</v>
      </c>
      <c r="V14" s="27">
        <f t="shared" si="10"/>
        <v>0</v>
      </c>
      <c r="X14" s="32">
        <f t="shared" si="0"/>
        <v>0</v>
      </c>
      <c r="Y14" s="32">
        <f t="shared" si="1"/>
        <v>0</v>
      </c>
      <c r="Z14" s="27">
        <f t="shared" si="2"/>
        <v>0</v>
      </c>
      <c r="AC14" s="33">
        <f t="shared" si="11"/>
        <v>0</v>
      </c>
      <c r="AD14" s="27">
        <f t="shared" si="12"/>
        <v>0</v>
      </c>
      <c r="AE14" s="27">
        <f t="shared" si="13"/>
        <v>0</v>
      </c>
      <c r="AF14" s="27">
        <f t="shared" si="14"/>
        <v>0</v>
      </c>
    </row>
    <row r="15" spans="1:34" hidden="1" x14ac:dyDescent="0.3">
      <c r="A15" s="61"/>
      <c r="B15" s="61" t="s">
        <v>81</v>
      </c>
      <c r="C15" s="61"/>
      <c r="D15" s="66">
        <v>0</v>
      </c>
      <c r="E15" s="66">
        <v>0</v>
      </c>
      <c r="F15" s="66"/>
      <c r="G15" s="72"/>
      <c r="H15" s="68"/>
      <c r="I15" s="74" t="s">
        <v>82</v>
      </c>
      <c r="J15" s="75"/>
      <c r="K15" s="68">
        <v>1.2</v>
      </c>
      <c r="L15" s="69">
        <v>100</v>
      </c>
      <c r="M15" s="70">
        <v>12.5</v>
      </c>
      <c r="N15" s="8">
        <f t="shared" si="3"/>
        <v>0</v>
      </c>
      <c r="P15" s="10">
        <f t="shared" si="4"/>
        <v>0</v>
      </c>
      <c r="Q15" s="27">
        <f t="shared" si="5"/>
        <v>0</v>
      </c>
      <c r="R15" s="27">
        <f t="shared" si="6"/>
        <v>0</v>
      </c>
      <c r="S15" s="27">
        <f t="shared" si="7"/>
        <v>0</v>
      </c>
      <c r="T15" s="32">
        <f t="shared" si="8"/>
        <v>0</v>
      </c>
      <c r="U15" s="32">
        <f t="shared" si="9"/>
        <v>0</v>
      </c>
      <c r="V15" s="27">
        <f t="shared" si="10"/>
        <v>0</v>
      </c>
      <c r="X15" s="32">
        <f t="shared" si="0"/>
        <v>0</v>
      </c>
      <c r="Y15" s="32">
        <f t="shared" si="1"/>
        <v>0</v>
      </c>
      <c r="Z15" s="27">
        <f t="shared" si="2"/>
        <v>0</v>
      </c>
      <c r="AC15" s="33">
        <f t="shared" si="11"/>
        <v>0</v>
      </c>
      <c r="AD15" s="27">
        <f t="shared" si="12"/>
        <v>0</v>
      </c>
      <c r="AE15" s="27">
        <f t="shared" si="13"/>
        <v>0</v>
      </c>
      <c r="AF15" s="27">
        <f t="shared" si="14"/>
        <v>0</v>
      </c>
    </row>
    <row r="16" spans="1:34" hidden="1" x14ac:dyDescent="0.3">
      <c r="A16" s="61"/>
      <c r="B16" s="61" t="s">
        <v>81</v>
      </c>
      <c r="C16" s="61"/>
      <c r="D16" s="66">
        <v>0</v>
      </c>
      <c r="E16" s="66">
        <v>0</v>
      </c>
      <c r="F16" s="66"/>
      <c r="G16" s="72"/>
      <c r="H16" s="68"/>
      <c r="I16" s="74" t="str">
        <f t="shared" si="15"/>
        <v>DDR</v>
      </c>
      <c r="J16" s="75"/>
      <c r="K16" s="68">
        <v>1.2</v>
      </c>
      <c r="L16" s="69">
        <v>100</v>
      </c>
      <c r="M16" s="70">
        <v>12.5</v>
      </c>
      <c r="N16" s="8">
        <f t="shared" si="3"/>
        <v>0</v>
      </c>
      <c r="P16" s="10">
        <f t="shared" si="4"/>
        <v>0</v>
      </c>
      <c r="Q16" s="27">
        <f t="shared" si="5"/>
        <v>0</v>
      </c>
      <c r="R16" s="27">
        <f t="shared" si="6"/>
        <v>0</v>
      </c>
      <c r="S16" s="27">
        <f t="shared" si="7"/>
        <v>0</v>
      </c>
      <c r="T16" s="32">
        <f t="shared" si="8"/>
        <v>0</v>
      </c>
      <c r="U16" s="32">
        <f t="shared" si="9"/>
        <v>0</v>
      </c>
      <c r="V16" s="27">
        <f t="shared" si="10"/>
        <v>0</v>
      </c>
      <c r="X16" s="32">
        <f t="shared" si="0"/>
        <v>0</v>
      </c>
      <c r="Y16" s="32">
        <f t="shared" si="1"/>
        <v>0</v>
      </c>
      <c r="Z16" s="27">
        <f t="shared" si="2"/>
        <v>0</v>
      </c>
      <c r="AC16" s="33">
        <f t="shared" si="11"/>
        <v>0</v>
      </c>
      <c r="AD16" s="27">
        <f t="shared" si="12"/>
        <v>0</v>
      </c>
      <c r="AE16" s="27">
        <f t="shared" si="13"/>
        <v>0</v>
      </c>
      <c r="AF16" s="27">
        <f t="shared" si="14"/>
        <v>0</v>
      </c>
    </row>
    <row r="17" spans="1:32" hidden="1" x14ac:dyDescent="0.3">
      <c r="A17" s="61"/>
      <c r="B17" s="61" t="s">
        <v>81</v>
      </c>
      <c r="C17" s="61"/>
      <c r="D17" s="66">
        <v>0</v>
      </c>
      <c r="E17" s="66">
        <v>0</v>
      </c>
      <c r="F17" s="66"/>
      <c r="G17" s="72"/>
      <c r="H17" s="68"/>
      <c r="I17" s="74" t="str">
        <f t="shared" si="15"/>
        <v>DDR</v>
      </c>
      <c r="J17" s="75"/>
      <c r="K17" s="68">
        <v>1.2</v>
      </c>
      <c r="L17" s="69">
        <v>100</v>
      </c>
      <c r="M17" s="70">
        <v>12.5</v>
      </c>
      <c r="N17" s="8">
        <f t="shared" si="3"/>
        <v>0</v>
      </c>
      <c r="P17" s="10">
        <f t="shared" si="4"/>
        <v>0</v>
      </c>
      <c r="Q17" s="27">
        <f t="shared" si="5"/>
        <v>0</v>
      </c>
      <c r="R17" s="27">
        <f t="shared" si="6"/>
        <v>0</v>
      </c>
      <c r="S17" s="27">
        <f t="shared" si="7"/>
        <v>0</v>
      </c>
      <c r="T17" s="32">
        <f t="shared" si="8"/>
        <v>0</v>
      </c>
      <c r="U17" s="32">
        <f t="shared" si="9"/>
        <v>0</v>
      </c>
      <c r="V17" s="27">
        <f t="shared" si="10"/>
        <v>0</v>
      </c>
      <c r="X17" s="32">
        <f t="shared" si="0"/>
        <v>0</v>
      </c>
      <c r="Y17" s="32">
        <f t="shared" si="1"/>
        <v>0</v>
      </c>
      <c r="Z17" s="27">
        <f t="shared" si="2"/>
        <v>0</v>
      </c>
      <c r="AC17" s="33">
        <f t="shared" si="11"/>
        <v>0</v>
      </c>
      <c r="AD17" s="27">
        <f t="shared" si="12"/>
        <v>0</v>
      </c>
      <c r="AE17" s="27">
        <f t="shared" si="13"/>
        <v>0</v>
      </c>
      <c r="AF17" s="27">
        <f t="shared" si="14"/>
        <v>0</v>
      </c>
    </row>
    <row r="18" spans="1:32" hidden="1" x14ac:dyDescent="0.3">
      <c r="A18" s="61"/>
      <c r="B18" s="61" t="s">
        <v>81</v>
      </c>
      <c r="C18" s="61"/>
      <c r="D18" s="66">
        <v>0</v>
      </c>
      <c r="E18" s="66">
        <v>0</v>
      </c>
      <c r="F18" s="66"/>
      <c r="G18" s="72"/>
      <c r="H18" s="68"/>
      <c r="I18" s="74" t="str">
        <f t="shared" si="15"/>
        <v>DDR</v>
      </c>
      <c r="J18" s="75"/>
      <c r="K18" s="68">
        <v>1.2</v>
      </c>
      <c r="L18" s="69">
        <v>100</v>
      </c>
      <c r="M18" s="70">
        <v>12.5</v>
      </c>
      <c r="N18" s="8">
        <f t="shared" si="3"/>
        <v>0</v>
      </c>
      <c r="P18" s="10">
        <f t="shared" si="4"/>
        <v>0</v>
      </c>
      <c r="Q18" s="27">
        <f t="shared" si="5"/>
        <v>0</v>
      </c>
      <c r="R18" s="27">
        <f t="shared" si="6"/>
        <v>0</v>
      </c>
      <c r="S18" s="27">
        <f t="shared" si="7"/>
        <v>0</v>
      </c>
      <c r="T18" s="32">
        <f t="shared" si="8"/>
        <v>0</v>
      </c>
      <c r="U18" s="32">
        <f t="shared" si="9"/>
        <v>0</v>
      </c>
      <c r="V18" s="27">
        <f t="shared" si="10"/>
        <v>0</v>
      </c>
      <c r="X18" s="32">
        <f t="shared" si="0"/>
        <v>0</v>
      </c>
      <c r="Y18" s="32">
        <f t="shared" si="1"/>
        <v>0</v>
      </c>
      <c r="Z18" s="27">
        <f t="shared" si="2"/>
        <v>0</v>
      </c>
      <c r="AC18" s="33">
        <f t="shared" si="11"/>
        <v>0</v>
      </c>
      <c r="AD18" s="27">
        <f t="shared" si="12"/>
        <v>0</v>
      </c>
      <c r="AE18" s="27">
        <f t="shared" si="13"/>
        <v>0</v>
      </c>
      <c r="AF18" s="27">
        <f t="shared" si="14"/>
        <v>0</v>
      </c>
    </row>
    <row r="19" spans="1:32" hidden="1" x14ac:dyDescent="0.3"/>
    <row r="20" spans="1:32" hidden="1" x14ac:dyDescent="0.3"/>
    <row r="21" spans="1:32" hidden="1" x14ac:dyDescent="0.3"/>
    <row r="22" spans="1:32" hidden="1" x14ac:dyDescent="0.3"/>
    <row r="23" spans="1:32" ht="16.5" hidden="1" customHeight="1" x14ac:dyDescent="0.3"/>
    <row r="24" spans="1:32" hidden="1" x14ac:dyDescent="0.3"/>
    <row r="25" spans="1:32" hidden="1" x14ac:dyDescent="0.3"/>
    <row r="26" spans="1:32" ht="15" hidden="1" customHeight="1" x14ac:dyDescent="0.3">
      <c r="B26" s="23"/>
      <c r="C26" s="21">
        <v>0</v>
      </c>
      <c r="D26" s="21">
        <v>0</v>
      </c>
      <c r="E26" s="21"/>
      <c r="F26" s="1" t="s">
        <v>82</v>
      </c>
      <c r="G26" s="1" t="s">
        <v>83</v>
      </c>
      <c r="H26" s="21" t="s">
        <v>84</v>
      </c>
    </row>
    <row r="27" spans="1:32" ht="15" hidden="1" customHeight="1" x14ac:dyDescent="0.3">
      <c r="B27" s="23"/>
      <c r="C27" s="21">
        <v>1</v>
      </c>
      <c r="D27" s="21">
        <v>1</v>
      </c>
      <c r="E27" s="21"/>
      <c r="G27" s="1" t="s">
        <v>82</v>
      </c>
      <c r="H27" s="21" t="s">
        <v>85</v>
      </c>
    </row>
    <row r="28" spans="1:32" ht="15" hidden="1" customHeight="1" x14ac:dyDescent="0.3">
      <c r="B28" s="23"/>
      <c r="D28" s="21">
        <v>2</v>
      </c>
      <c r="E28" s="21"/>
      <c r="H28" s="21" t="s">
        <v>86</v>
      </c>
    </row>
    <row r="29" spans="1:32" ht="15" hidden="1" customHeight="1" x14ac:dyDescent="0.3">
      <c r="B29" s="24"/>
      <c r="D29" s="21">
        <v>3</v>
      </c>
      <c r="E29" s="21"/>
      <c r="H29" s="21" t="s">
        <v>87</v>
      </c>
    </row>
    <row r="30" spans="1:32" ht="15" hidden="1" customHeight="1" x14ac:dyDescent="0.3">
      <c r="B30" s="25"/>
      <c r="H30" s="21" t="s">
        <v>81</v>
      </c>
    </row>
    <row r="31" spans="1:32" hidden="1" x14ac:dyDescent="0.3">
      <c r="B31" s="23"/>
      <c r="H31" s="21" t="s">
        <v>88</v>
      </c>
    </row>
    <row r="32" spans="1:32" hidden="1" x14ac:dyDescent="0.3"/>
    <row r="33" spans="1:22" hidden="1" x14ac:dyDescent="0.3">
      <c r="R33" s="58"/>
      <c r="S33" s="58"/>
      <c r="T33" s="58"/>
      <c r="U33" s="142"/>
      <c r="V33" s="142"/>
    </row>
    <row r="34" spans="1:22" ht="25.8" x14ac:dyDescent="0.3">
      <c r="A34" s="163" t="s">
        <v>60</v>
      </c>
      <c r="B34" s="164"/>
      <c r="C34" s="164"/>
      <c r="D34" s="165"/>
      <c r="P34" s="58"/>
    </row>
    <row r="35" spans="1:22" ht="21" x14ac:dyDescent="0.3">
      <c r="A35" s="85" t="s">
        <v>61</v>
      </c>
      <c r="B35" s="86">
        <f>IF(calTotal!E10="Nominal",1.8,IF(calTotal!E10="Minimum",1.71,IF(calTotal!E10="Maximum",1.89,"Invalid")))</f>
        <v>1.8</v>
      </c>
      <c r="C35" s="90"/>
      <c r="D35" s="91">
        <f>IF(Package="Q144",0,SUM(P41:P50))</f>
        <v>0</v>
      </c>
      <c r="P35" s="58"/>
    </row>
    <row r="36" spans="1:22" ht="21" x14ac:dyDescent="0.3">
      <c r="A36" s="85" t="s">
        <v>61</v>
      </c>
      <c r="B36" s="86">
        <f>IF(calTotal!E10="Nominal",2.5,IF(calTotal!E10="Minimum",2.375,IF(calTotal!E10="Maximum",2.625,"Invalid")))</f>
        <v>2.5</v>
      </c>
      <c r="C36" s="90"/>
      <c r="D36" s="91">
        <f>IF(Package="Q144",0,SUM(Q41:Q50))</f>
        <v>0</v>
      </c>
    </row>
    <row r="37" spans="1:22" ht="21" x14ac:dyDescent="0.3">
      <c r="A37" s="85" t="s">
        <v>61</v>
      </c>
      <c r="B37" s="86">
        <f>IF(calTotal!E10="Nominal",3.3,IF(calTotal!E10="Minimum",3.135,IF(calTotal!E10="Maximum",3.465,"Invalid")))</f>
        <v>3.3</v>
      </c>
      <c r="C37" s="90"/>
      <c r="D37" s="91">
        <f>IF(Package="Q144",0,SUM(R41:R50))</f>
        <v>0</v>
      </c>
    </row>
    <row r="38" spans="1:22" ht="21" x14ac:dyDescent="0.4">
      <c r="A38" s="162" t="s">
        <v>62</v>
      </c>
      <c r="B38" s="162"/>
      <c r="C38" s="90"/>
      <c r="D38" s="87">
        <f>SUM(K41:K50)</f>
        <v>0</v>
      </c>
    </row>
    <row r="40" spans="1:22" x14ac:dyDescent="0.3">
      <c r="A40" s="92" t="s">
        <v>47</v>
      </c>
      <c r="B40" s="92" t="s">
        <v>68</v>
      </c>
      <c r="C40" s="92" t="s">
        <v>69</v>
      </c>
      <c r="D40" s="92" t="s">
        <v>73</v>
      </c>
      <c r="E40" s="93" t="s">
        <v>74</v>
      </c>
      <c r="F40" s="94" t="s">
        <v>75</v>
      </c>
      <c r="G40" s="95" t="s">
        <v>48</v>
      </c>
      <c r="H40" s="96" t="s">
        <v>76</v>
      </c>
      <c r="I40" s="96" t="s">
        <v>110</v>
      </c>
      <c r="J40" s="96" t="s">
        <v>51</v>
      </c>
      <c r="K40" s="96" t="s">
        <v>52</v>
      </c>
      <c r="L40" s="9"/>
      <c r="P40" s="9">
        <v>1.8</v>
      </c>
      <c r="Q40" s="9">
        <v>2.5</v>
      </c>
      <c r="R40" s="9">
        <v>3.3</v>
      </c>
      <c r="S40" s="58"/>
      <c r="T40" s="142"/>
      <c r="U40" s="142"/>
    </row>
    <row r="41" spans="1:22" x14ac:dyDescent="0.3">
      <c r="A41" s="61"/>
      <c r="B41" s="61" t="s">
        <v>87</v>
      </c>
      <c r="C41" s="61"/>
      <c r="D41" s="72"/>
      <c r="E41" s="73"/>
      <c r="F41" s="83" t="s">
        <v>83</v>
      </c>
      <c r="G41" s="75"/>
      <c r="H41" s="83"/>
      <c r="I41" s="134">
        <v>1</v>
      </c>
      <c r="J41" s="135">
        <v>0.125</v>
      </c>
      <c r="K41" s="97">
        <f t="shared" ref="K41:K50" si="16">SUM(P41:R41)</f>
        <v>0</v>
      </c>
      <c r="P41" s="21">
        <f>IF(Package="Q144",0,IF(B41="1.8V LVCMOS",(((1/2)*H41*($B$35^2)*G41*D41)*(J41)+((1/2)*H41*($B$35^2)*G41*E41)*(J41*I41))*0.00105,0))</f>
        <v>0</v>
      </c>
      <c r="Q41" s="21">
        <f t="shared" ref="Q41:Q50" si="17">IF(Package="Q144",0,IF(B41="2.5V LVCMOS",(((1/2)*H41*($B$36^2)*G41*D41)*(J41)+((1/2)*H41*($B$36^2)*G41*E41)*(J41*I41))*0.00105,0))</f>
        <v>0</v>
      </c>
      <c r="R41" s="21">
        <f t="shared" ref="R41:R50" si="18">IF(Package="Q144",0,IF(OR(B41="3.3V LVCMOS",B41="3.3V LVTTL"),(((1/2)*H41*($B$37^2)*G41*D41)*(J41)+((1/2)*H41*($B$37^2)*G41*E41)*(J41*I41))*0.00105,0))</f>
        <v>0</v>
      </c>
      <c r="S41" s="3"/>
    </row>
    <row r="42" spans="1:22" x14ac:dyDescent="0.3">
      <c r="A42" s="61"/>
      <c r="B42" s="61" t="s">
        <v>84</v>
      </c>
      <c r="C42" s="61"/>
      <c r="D42" s="72"/>
      <c r="E42" s="73"/>
      <c r="F42" s="83" t="s">
        <v>83</v>
      </c>
      <c r="G42" s="75"/>
      <c r="H42" s="83"/>
      <c r="I42" s="134">
        <v>1</v>
      </c>
      <c r="J42" s="135">
        <v>0.125</v>
      </c>
      <c r="K42" s="97">
        <f t="shared" si="16"/>
        <v>0</v>
      </c>
      <c r="P42" s="21">
        <f t="shared" ref="P42:P50" si="19">IF(Package="Q144",0,IF(B42="1.8V LVCMOS",(((1/2)*H42*($B$35^2)*G42*D42)*(J42)+((1/2)*H42*($B$35^2)*G42*E42)*(J42*I42))*0.00105,0))</f>
        <v>0</v>
      </c>
      <c r="Q42" s="21">
        <f t="shared" si="17"/>
        <v>0</v>
      </c>
      <c r="R42" s="21">
        <f t="shared" si="18"/>
        <v>0</v>
      </c>
    </row>
    <row r="43" spans="1:22" x14ac:dyDescent="0.3">
      <c r="A43" s="61"/>
      <c r="B43" s="61" t="s">
        <v>85</v>
      </c>
      <c r="C43" s="61"/>
      <c r="D43" s="72"/>
      <c r="E43" s="73"/>
      <c r="F43" s="83" t="s">
        <v>83</v>
      </c>
      <c r="G43" s="75"/>
      <c r="H43" s="83"/>
      <c r="I43" s="134">
        <v>1</v>
      </c>
      <c r="J43" s="135">
        <v>0.125</v>
      </c>
      <c r="K43" s="97">
        <f t="shared" si="16"/>
        <v>0</v>
      </c>
      <c r="P43" s="21">
        <f t="shared" si="19"/>
        <v>0</v>
      </c>
      <c r="Q43" s="21">
        <f t="shared" si="17"/>
        <v>0</v>
      </c>
      <c r="R43" s="21">
        <f t="shared" si="18"/>
        <v>0</v>
      </c>
    </row>
    <row r="44" spans="1:22" x14ac:dyDescent="0.3">
      <c r="A44" s="61"/>
      <c r="B44" s="61" t="s">
        <v>86</v>
      </c>
      <c r="C44" s="61"/>
      <c r="D44" s="72"/>
      <c r="E44" s="73"/>
      <c r="F44" s="83" t="s">
        <v>83</v>
      </c>
      <c r="G44" s="75"/>
      <c r="H44" s="83"/>
      <c r="I44" s="134">
        <v>1</v>
      </c>
      <c r="J44" s="135">
        <v>0.125</v>
      </c>
      <c r="K44" s="97">
        <f t="shared" si="16"/>
        <v>0</v>
      </c>
      <c r="P44" s="21">
        <f t="shared" si="19"/>
        <v>0</v>
      </c>
      <c r="Q44" s="21">
        <f t="shared" si="17"/>
        <v>0</v>
      </c>
      <c r="R44" s="21">
        <f t="shared" si="18"/>
        <v>0</v>
      </c>
    </row>
    <row r="45" spans="1:22" x14ac:dyDescent="0.3">
      <c r="A45" s="61"/>
      <c r="B45" s="61" t="s">
        <v>86</v>
      </c>
      <c r="C45" s="61"/>
      <c r="D45" s="72"/>
      <c r="E45" s="73"/>
      <c r="F45" s="83" t="s">
        <v>83</v>
      </c>
      <c r="G45" s="75"/>
      <c r="H45" s="83"/>
      <c r="I45" s="134">
        <v>1</v>
      </c>
      <c r="J45" s="135">
        <v>0.125</v>
      </c>
      <c r="K45" s="97">
        <f t="shared" si="16"/>
        <v>0</v>
      </c>
      <c r="P45" s="21">
        <f t="shared" si="19"/>
        <v>0</v>
      </c>
      <c r="Q45" s="21">
        <f t="shared" si="17"/>
        <v>0</v>
      </c>
      <c r="R45" s="21">
        <f t="shared" si="18"/>
        <v>0</v>
      </c>
    </row>
    <row r="46" spans="1:22" x14ac:dyDescent="0.3">
      <c r="A46" s="61"/>
      <c r="B46" s="61" t="s">
        <v>86</v>
      </c>
      <c r="C46" s="61"/>
      <c r="D46" s="72"/>
      <c r="E46" s="73"/>
      <c r="F46" s="83" t="s">
        <v>83</v>
      </c>
      <c r="G46" s="75"/>
      <c r="H46" s="83"/>
      <c r="I46" s="134">
        <v>1</v>
      </c>
      <c r="J46" s="135">
        <v>0.125</v>
      </c>
      <c r="K46" s="97">
        <f t="shared" si="16"/>
        <v>0</v>
      </c>
      <c r="P46" s="21">
        <f t="shared" si="19"/>
        <v>0</v>
      </c>
      <c r="Q46" s="21">
        <f t="shared" si="17"/>
        <v>0</v>
      </c>
      <c r="R46" s="21">
        <f t="shared" si="18"/>
        <v>0</v>
      </c>
    </row>
    <row r="47" spans="1:22" hidden="1" x14ac:dyDescent="0.3">
      <c r="A47" s="61"/>
      <c r="B47" s="61" t="s">
        <v>86</v>
      </c>
      <c r="C47" s="61"/>
      <c r="D47" s="72"/>
      <c r="E47" s="73"/>
      <c r="F47" s="83" t="s">
        <v>83</v>
      </c>
      <c r="G47" s="75"/>
      <c r="H47" s="83"/>
      <c r="I47" s="134">
        <v>1</v>
      </c>
      <c r="J47" s="135">
        <v>0.125</v>
      </c>
      <c r="K47" s="97">
        <f t="shared" si="16"/>
        <v>0</v>
      </c>
      <c r="P47" s="21">
        <f t="shared" si="19"/>
        <v>0</v>
      </c>
      <c r="Q47" s="21">
        <f t="shared" si="17"/>
        <v>0</v>
      </c>
      <c r="R47" s="21">
        <f t="shared" si="18"/>
        <v>0</v>
      </c>
    </row>
    <row r="48" spans="1:22" hidden="1" x14ac:dyDescent="0.3">
      <c r="A48" s="61"/>
      <c r="B48" s="61" t="s">
        <v>86</v>
      </c>
      <c r="C48" s="61"/>
      <c r="D48" s="72"/>
      <c r="E48" s="73"/>
      <c r="F48" s="83" t="s">
        <v>83</v>
      </c>
      <c r="G48" s="75"/>
      <c r="H48" s="83"/>
      <c r="I48" s="134">
        <v>1</v>
      </c>
      <c r="J48" s="135">
        <v>0.125</v>
      </c>
      <c r="K48" s="97">
        <f t="shared" si="16"/>
        <v>0</v>
      </c>
      <c r="P48" s="21">
        <f t="shared" si="19"/>
        <v>0</v>
      </c>
      <c r="Q48" s="21">
        <f t="shared" si="17"/>
        <v>0</v>
      </c>
      <c r="R48" s="21">
        <f t="shared" si="18"/>
        <v>0</v>
      </c>
    </row>
    <row r="49" spans="1:18" hidden="1" x14ac:dyDescent="0.3">
      <c r="A49" s="61"/>
      <c r="B49" s="61" t="s">
        <v>86</v>
      </c>
      <c r="C49" s="61"/>
      <c r="D49" s="72"/>
      <c r="E49" s="137"/>
      <c r="F49" s="83" t="s">
        <v>83</v>
      </c>
      <c r="G49" s="75"/>
      <c r="H49" s="83"/>
      <c r="I49" s="134">
        <v>1</v>
      </c>
      <c r="J49" s="135">
        <v>0.125</v>
      </c>
      <c r="K49" s="97">
        <f t="shared" si="16"/>
        <v>0</v>
      </c>
      <c r="P49" s="21">
        <f t="shared" si="19"/>
        <v>0</v>
      </c>
      <c r="Q49" s="21">
        <f t="shared" si="17"/>
        <v>0</v>
      </c>
      <c r="R49" s="21">
        <f t="shared" si="18"/>
        <v>0</v>
      </c>
    </row>
    <row r="50" spans="1:18" hidden="1" x14ac:dyDescent="0.3">
      <c r="A50" s="61"/>
      <c r="B50" s="61" t="s">
        <v>86</v>
      </c>
      <c r="C50" s="61"/>
      <c r="D50" s="72"/>
      <c r="E50" s="61"/>
      <c r="F50" s="68" t="s">
        <v>83</v>
      </c>
      <c r="G50" s="75"/>
      <c r="H50" s="83"/>
      <c r="I50" s="134">
        <v>1</v>
      </c>
      <c r="J50" s="135">
        <v>0.125</v>
      </c>
      <c r="K50" s="97">
        <f t="shared" si="16"/>
        <v>0</v>
      </c>
      <c r="P50" s="21">
        <f t="shared" si="19"/>
        <v>0</v>
      </c>
      <c r="Q50" s="21">
        <f t="shared" si="17"/>
        <v>0</v>
      </c>
      <c r="R50" s="21">
        <f t="shared" si="18"/>
        <v>0</v>
      </c>
    </row>
    <row r="51" spans="1:18" hidden="1" x14ac:dyDescent="0.3">
      <c r="E51" s="138"/>
    </row>
    <row r="52" spans="1:18" hidden="1" x14ac:dyDescent="0.3">
      <c r="E52" s="138"/>
    </row>
    <row r="53" spans="1:18" hidden="1" x14ac:dyDescent="0.3">
      <c r="E53" s="138"/>
    </row>
    <row r="54" spans="1:18" hidden="1" x14ac:dyDescent="0.3">
      <c r="E54" s="138"/>
    </row>
    <row r="55" spans="1:18" hidden="1" x14ac:dyDescent="0.3">
      <c r="E55" s="138"/>
    </row>
    <row r="56" spans="1:18" hidden="1" x14ac:dyDescent="0.3">
      <c r="B56" s="21" t="s">
        <v>84</v>
      </c>
      <c r="E56" s="138"/>
      <c r="F56" s="21" t="s">
        <v>83</v>
      </c>
    </row>
    <row r="57" spans="1:18" hidden="1" x14ac:dyDescent="0.3">
      <c r="B57" s="21" t="s">
        <v>85</v>
      </c>
      <c r="E57" s="138"/>
    </row>
    <row r="58" spans="1:18" hidden="1" x14ac:dyDescent="0.3">
      <c r="B58" s="21" t="s">
        <v>86</v>
      </c>
      <c r="E58" s="138"/>
    </row>
    <row r="59" spans="1:18" hidden="1" x14ac:dyDescent="0.3">
      <c r="B59" s="21" t="s">
        <v>87</v>
      </c>
      <c r="E59" s="138"/>
    </row>
    <row r="60" spans="1:18" hidden="1" x14ac:dyDescent="0.3">
      <c r="E60" s="138"/>
    </row>
    <row r="61" spans="1:18" hidden="1" x14ac:dyDescent="0.3">
      <c r="E61" s="138"/>
    </row>
    <row r="62" spans="1:18" hidden="1" x14ac:dyDescent="0.3">
      <c r="E62" s="138"/>
    </row>
    <row r="63" spans="1:18" hidden="1" x14ac:dyDescent="0.3">
      <c r="E63" s="138"/>
    </row>
    <row r="64" spans="1:18" hidden="1" x14ac:dyDescent="0.3">
      <c r="E64" s="138"/>
    </row>
    <row r="65" spans="1:5" hidden="1" x14ac:dyDescent="0.3">
      <c r="E65" s="138"/>
    </row>
    <row r="66" spans="1:5" hidden="1" x14ac:dyDescent="0.3">
      <c r="E66" s="138"/>
    </row>
    <row r="67" spans="1:5" hidden="1" x14ac:dyDescent="0.3">
      <c r="E67" s="138"/>
    </row>
    <row r="68" spans="1:5" hidden="1" x14ac:dyDescent="0.3">
      <c r="E68" s="138"/>
    </row>
    <row r="69" spans="1:5" hidden="1" x14ac:dyDescent="0.3">
      <c r="E69" s="138"/>
    </row>
    <row r="70" spans="1:5" hidden="1" x14ac:dyDescent="0.3">
      <c r="E70" s="138"/>
    </row>
    <row r="71" spans="1:5" hidden="1" x14ac:dyDescent="0.3">
      <c r="E71" s="138"/>
    </row>
    <row r="72" spans="1:5" hidden="1" x14ac:dyDescent="0.3">
      <c r="E72" s="138"/>
    </row>
    <row r="73" spans="1:5" hidden="1" x14ac:dyDescent="0.3">
      <c r="E73" s="138"/>
    </row>
    <row r="74" spans="1:5" hidden="1" x14ac:dyDescent="0.3">
      <c r="E74" s="138"/>
    </row>
    <row r="75" spans="1:5" hidden="1" x14ac:dyDescent="0.3">
      <c r="E75" s="138"/>
    </row>
    <row r="76" spans="1:5" hidden="1" x14ac:dyDescent="0.3">
      <c r="E76" s="138"/>
    </row>
    <row r="77" spans="1:5" hidden="1" x14ac:dyDescent="0.3">
      <c r="E77" s="138"/>
    </row>
    <row r="78" spans="1:5" hidden="1" x14ac:dyDescent="0.3"/>
    <row r="80" spans="1:5" x14ac:dyDescent="0.3">
      <c r="A80" s="1" t="s">
        <v>111</v>
      </c>
    </row>
    <row r="81" spans="1:1" x14ac:dyDescent="0.3">
      <c r="A81" s="84" t="s">
        <v>112</v>
      </c>
    </row>
  </sheetData>
  <sheetProtection algorithmName="SHA-512" hashValue="MBw9C+jQf/Pfi21dY6Tfj9+nrCGj6lW6JKr4QOYenCtz0C8MFy2KFt78zeGCOsFlkbL82M3ea3kwJuH8U5LwWA==" saltValue="gTe7WCx0LuaeeRN/HRltqQ==" spinCount="100000" sheet="1" formatCells="0" formatColumns="0" formatRows="0" autoFilter="0"/>
  <mergeCells count="9">
    <mergeCell ref="U33:V33"/>
    <mergeCell ref="T40:U40"/>
    <mergeCell ref="AD1:AE1"/>
    <mergeCell ref="A6:B6"/>
    <mergeCell ref="R1:S1"/>
    <mergeCell ref="A1:D1"/>
    <mergeCell ref="P1:Q1"/>
    <mergeCell ref="A38:B38"/>
    <mergeCell ref="A34:D34"/>
  </mergeCells>
  <conditionalFormatting sqref="C9:C18">
    <cfRule type="expression" dxfId="60" priority="138">
      <formula>B9="3.3V LVDS"</formula>
    </cfRule>
  </conditionalFormatting>
  <conditionalFormatting sqref="E10">
    <cfRule type="expression" dxfId="59" priority="23">
      <formula>$B$10="3.3V LVDS"</formula>
    </cfRule>
  </conditionalFormatting>
  <conditionalFormatting sqref="D18">
    <cfRule type="expression" dxfId="58" priority="86">
      <formula>$B$18="3.3V LVDS"</formula>
    </cfRule>
  </conditionalFormatting>
  <conditionalFormatting sqref="D17">
    <cfRule type="expression" dxfId="57" priority="85">
      <formula>$B$17="3.3V LVDS"</formula>
    </cfRule>
  </conditionalFormatting>
  <conditionalFormatting sqref="D16">
    <cfRule type="expression" dxfId="56" priority="84">
      <formula>$B$16="3.3V LVDS"</formula>
    </cfRule>
  </conditionalFormatting>
  <conditionalFormatting sqref="D15">
    <cfRule type="expression" dxfId="55" priority="83">
      <formula>$B$15="3.3V LVDS"</formula>
    </cfRule>
  </conditionalFormatting>
  <conditionalFormatting sqref="D14">
    <cfRule type="expression" dxfId="54" priority="82">
      <formula>$B$14="3.3V LVDS"</formula>
    </cfRule>
  </conditionalFormatting>
  <conditionalFormatting sqref="D13">
    <cfRule type="expression" dxfId="53" priority="81">
      <formula>$B$13="3.3V LVDS"</formula>
    </cfRule>
  </conditionalFormatting>
  <conditionalFormatting sqref="D12">
    <cfRule type="expression" dxfId="52" priority="80">
      <formula>$B$12="3.3V LVDS"</formula>
    </cfRule>
  </conditionalFormatting>
  <conditionalFormatting sqref="D11">
    <cfRule type="expression" dxfId="51" priority="79">
      <formula>$B$11="3.3V LVDS"</formula>
    </cfRule>
  </conditionalFormatting>
  <conditionalFormatting sqref="I9">
    <cfRule type="expression" dxfId="50" priority="41">
      <formula>$B$9="3.3V LVDS"</formula>
    </cfRule>
  </conditionalFormatting>
  <conditionalFormatting sqref="I12">
    <cfRule type="expression" dxfId="49" priority="63">
      <formula>$B$12="3.3V LVDS"</formula>
    </cfRule>
  </conditionalFormatting>
  <conditionalFormatting sqref="I11">
    <cfRule type="expression" dxfId="48" priority="62">
      <formula>$B$11="3.3V LVDS"</formula>
    </cfRule>
  </conditionalFormatting>
  <conditionalFormatting sqref="I13">
    <cfRule type="expression" dxfId="47" priority="64">
      <formula>$B$13="3.3V LVDS"</formula>
    </cfRule>
  </conditionalFormatting>
  <conditionalFormatting sqref="I14">
    <cfRule type="expression" dxfId="46" priority="65">
      <formula>$B$14="3.3V LVDS"</formula>
    </cfRule>
  </conditionalFormatting>
  <conditionalFormatting sqref="I15">
    <cfRule type="expression" dxfId="45" priority="66">
      <formula>$B$15="3.3V LVDS"</formula>
    </cfRule>
  </conditionalFormatting>
  <conditionalFormatting sqref="I16">
    <cfRule type="expression" dxfId="44" priority="67">
      <formula>$B$16="3.3V LVDS"</formula>
    </cfRule>
  </conditionalFormatting>
  <conditionalFormatting sqref="I17">
    <cfRule type="expression" dxfId="43" priority="68">
      <formula>$B$17="3.3V LVDS"</formula>
    </cfRule>
  </conditionalFormatting>
  <conditionalFormatting sqref="I18">
    <cfRule type="expression" dxfId="42" priority="69">
      <formula>$B$18="3.3V LVDS"</formula>
    </cfRule>
  </conditionalFormatting>
  <conditionalFormatting sqref="I10">
    <cfRule type="expression" dxfId="41" priority="61">
      <formula>$B$10="3.3V LVDS"</formula>
    </cfRule>
  </conditionalFormatting>
  <conditionalFormatting sqref="K9">
    <cfRule type="expression" dxfId="40" priority="40">
      <formula>$B$9="3.3V LVDS"</formula>
    </cfRule>
  </conditionalFormatting>
  <conditionalFormatting sqref="K11">
    <cfRule type="expression" dxfId="39" priority="44">
      <formula>$B$11="3.3V LVDS"</formula>
    </cfRule>
  </conditionalFormatting>
  <conditionalFormatting sqref="K12">
    <cfRule type="expression" dxfId="38" priority="45">
      <formula>$B$12="3.3V LVDS"</formula>
    </cfRule>
  </conditionalFormatting>
  <conditionalFormatting sqref="K13">
    <cfRule type="expression" dxfId="37" priority="46">
      <formula>$B$13="3.3V LVDS"</formula>
    </cfRule>
  </conditionalFormatting>
  <conditionalFormatting sqref="K14">
    <cfRule type="expression" dxfId="36" priority="47">
      <formula>$B$14="3.3V LVDS"</formula>
    </cfRule>
  </conditionalFormatting>
  <conditionalFormatting sqref="K15">
    <cfRule type="expression" dxfId="35" priority="48">
      <formula>$B$15="3.3V LVDS"</formula>
    </cfRule>
  </conditionalFormatting>
  <conditionalFormatting sqref="K16">
    <cfRule type="expression" dxfId="34" priority="49">
      <formula>$B$16="3.3V LVDS"</formula>
    </cfRule>
  </conditionalFormatting>
  <conditionalFormatting sqref="K17">
    <cfRule type="expression" dxfId="33" priority="50">
      <formula>$B$17="3.3V LVDS"</formula>
    </cfRule>
  </conditionalFormatting>
  <conditionalFormatting sqref="K18">
    <cfRule type="expression" dxfId="32" priority="51">
      <formula>$B$18="3.3V LVDS"</formula>
    </cfRule>
  </conditionalFormatting>
  <conditionalFormatting sqref="K10">
    <cfRule type="expression" dxfId="31" priority="43">
      <formula>$B$10="3.3V LVDS"</formula>
    </cfRule>
  </conditionalFormatting>
  <conditionalFormatting sqref="E9">
    <cfRule type="expression" dxfId="30" priority="22">
      <formula>$B$9="3.3V LVDS"</formula>
    </cfRule>
  </conditionalFormatting>
  <conditionalFormatting sqref="D10">
    <cfRule type="expression" dxfId="29" priority="39">
      <formula>$B$10="3.3V LVDS"</formula>
    </cfRule>
  </conditionalFormatting>
  <conditionalFormatting sqref="D9">
    <cfRule type="expression" dxfId="28" priority="38">
      <formula>$B$9="3.3V LVDS"</formula>
    </cfRule>
  </conditionalFormatting>
  <conditionalFormatting sqref="E12">
    <cfRule type="expression" dxfId="27" priority="25">
      <formula>$B$12="3.3V LVDS"</formula>
    </cfRule>
  </conditionalFormatting>
  <conditionalFormatting sqref="E11">
    <cfRule type="expression" dxfId="26" priority="24">
      <formula>$B$11="3.3V LVDS"</formula>
    </cfRule>
  </conditionalFormatting>
  <conditionalFormatting sqref="E14">
    <cfRule type="expression" dxfId="25" priority="27">
      <formula>$B$14="3.3V LVDS"</formula>
    </cfRule>
  </conditionalFormatting>
  <conditionalFormatting sqref="E13">
    <cfRule type="expression" dxfId="24" priority="26">
      <formula>$B$13="3.3V LVDS"</formula>
    </cfRule>
  </conditionalFormatting>
  <conditionalFormatting sqref="E16">
    <cfRule type="expression" dxfId="23" priority="29">
      <formula>$B$16="3.3V LVDS"</formula>
    </cfRule>
  </conditionalFormatting>
  <conditionalFormatting sqref="E15">
    <cfRule type="expression" dxfId="22" priority="28">
      <formula>$B$15="3.3V LVDS"</formula>
    </cfRule>
  </conditionalFormatting>
  <conditionalFormatting sqref="E18">
    <cfRule type="expression" dxfId="21" priority="31">
      <formula>$B$18="3.3V LVDS"</formula>
    </cfRule>
  </conditionalFormatting>
  <conditionalFormatting sqref="E17">
    <cfRule type="expression" dxfId="20" priority="30">
      <formula>$B$17="3.3V LVDS"</formula>
    </cfRule>
  </conditionalFormatting>
  <conditionalFormatting sqref="F9">
    <cfRule type="expression" dxfId="19" priority="20">
      <formula>$B$9="3.3V LVDS"</formula>
    </cfRule>
  </conditionalFormatting>
  <conditionalFormatting sqref="F10">
    <cfRule type="expression" dxfId="18" priority="19">
      <formula>$B$10="3.3V LVDS"</formula>
    </cfRule>
  </conditionalFormatting>
  <conditionalFormatting sqref="F11">
    <cfRule type="expression" dxfId="17" priority="18">
      <formula>$B$11="3.3V LVDS"</formula>
    </cfRule>
  </conditionalFormatting>
  <conditionalFormatting sqref="F12">
    <cfRule type="expression" dxfId="16" priority="17">
      <formula>$B$12="3.3V LVDS"</formula>
    </cfRule>
  </conditionalFormatting>
  <conditionalFormatting sqref="F13">
    <cfRule type="expression" dxfId="15" priority="16">
      <formula>$B$13="3.3V LVDS"</formula>
    </cfRule>
  </conditionalFormatting>
  <conditionalFormatting sqref="F14">
    <cfRule type="expression" dxfId="14" priority="15">
      <formula>$B$14="3.3V LVDS"</formula>
    </cfRule>
  </conditionalFormatting>
  <conditionalFormatting sqref="F15">
    <cfRule type="expression" dxfId="13" priority="14">
      <formula>$B$15="3.3V LVDS"</formula>
    </cfRule>
  </conditionalFormatting>
  <conditionalFormatting sqref="F16">
    <cfRule type="expression" dxfId="12" priority="13">
      <formula>$B$16="3.3V LVDS"</formula>
    </cfRule>
  </conditionalFormatting>
  <conditionalFormatting sqref="F17">
    <cfRule type="expression" dxfId="11" priority="12">
      <formula>$B$17="3.3V LVDS"</formula>
    </cfRule>
  </conditionalFormatting>
  <conditionalFormatting sqref="F18">
    <cfRule type="expression" dxfId="10" priority="11">
      <formula>$B$18="3.3V LVDS"</formula>
    </cfRule>
  </conditionalFormatting>
  <conditionalFormatting sqref="H9">
    <cfRule type="expression" dxfId="9" priority="1">
      <formula>$B$9="3.3V LVDS"</formula>
    </cfRule>
  </conditionalFormatting>
  <conditionalFormatting sqref="H11">
    <cfRule type="expression" dxfId="8" priority="3">
      <formula>$B$11="3.3V LVDS"</formula>
    </cfRule>
  </conditionalFormatting>
  <conditionalFormatting sqref="H12">
    <cfRule type="expression" dxfId="7" priority="4">
      <formula>$B$12="3.3V LVDS"</formula>
    </cfRule>
  </conditionalFormatting>
  <conditionalFormatting sqref="H13">
    <cfRule type="expression" dxfId="6" priority="5">
      <formula>$B$13="3.3V LVDS"</formula>
    </cfRule>
  </conditionalFormatting>
  <conditionalFormatting sqref="H14">
    <cfRule type="expression" dxfId="5" priority="6">
      <formula>$B$14="3.3V LVDS"</formula>
    </cfRule>
  </conditionalFormatting>
  <conditionalFormatting sqref="H15">
    <cfRule type="expression" dxfId="4" priority="7">
      <formula>$B$15="3.3V LVDS"</formula>
    </cfRule>
  </conditionalFormatting>
  <conditionalFormatting sqref="H16">
    <cfRule type="expression" dxfId="3" priority="8">
      <formula>$B$16="3.3V LVDS"</formula>
    </cfRule>
  </conditionalFormatting>
  <conditionalFormatting sqref="H17">
    <cfRule type="expression" dxfId="2" priority="9">
      <formula>$B$17="3.3V LVDS"</formula>
    </cfRule>
  </conditionalFormatting>
  <conditionalFormatting sqref="H18">
    <cfRule type="expression" dxfId="1" priority="10">
      <formula>$B$18="3.3V LVDS"</formula>
    </cfRule>
  </conditionalFormatting>
  <conditionalFormatting sqref="H10">
    <cfRule type="expression" dxfId="0" priority="2">
      <formula>$B$10="3.3V LVDS"</formula>
    </cfRule>
  </conditionalFormatting>
  <dataValidations count="36">
    <dataValidation allowBlank="1" showInputMessage="1" showErrorMessage="1" promptTitle="Data Rate" prompt="SDR = Single Data Rate_x000a_DDR = Double Data Rate" sqref="I8" xr:uid="{A257B2F9-2FAE-4D33-BB30-1FEB9B102465}"/>
    <dataValidation allowBlank="1" showInputMessage="1" showErrorMessage="1" promptTitle="Activity Factor" prompt="The output change value with respect to the clock cycle. An AF of 100% meant every positive edge (or every negative edge) of the clock, the output is changing value" sqref="M8" xr:uid="{C41976A7-5489-4D23-AB9E-66ACC170678E}"/>
    <dataValidation allowBlank="1" showInputMessage="1" showErrorMessage="1" promptTitle="Output Enable" prompt="The average percentage of time that output is enabled. Maximum is 100%" sqref="L8 I40" xr:uid="{C680FA2B-BF59-42A3-A90B-9AEC71378D3A}"/>
    <dataValidation allowBlank="1" showInputMessage="1" showErrorMessage="1" promptTitle="Load" prompt="Require to insert total loading (die capacitance + package capacitance+ board capacitance). Estimated die + package capacitance is 1 to 2pF " sqref="K8" xr:uid="{C883152B-EE22-4B91-ADCE-C200C1A3F4ED}"/>
    <dataValidation type="list" allowBlank="1" showInputMessage="1" showErrorMessage="1" sqref="E9:E18" xr:uid="{D0C8DA5C-8EDA-44E6-AD04-45075C16D9EE}">
      <formula1>$D$26:$D$29</formula1>
    </dataValidation>
    <dataValidation type="list" allowBlank="1" showInputMessage="1" showErrorMessage="1" sqref="D9:E18" xr:uid="{F0190E4B-2F69-425E-9F9B-2432BCE9F9FC}">
      <formula1>$C$26:$C$27</formula1>
    </dataValidation>
    <dataValidation allowBlank="1" showInputMessage="1" showErrorMessage="1" promptTitle="Number of Output Pins" prompt="For &quot;3.3V LVDS&quot; IO standard, 1 = 1 pair (P&amp;N) of LVDS channel._x000a_For others IO standard, 1 = 1 IO" sqref="G8" xr:uid="{F59DDCA8-9DF4-4A0F-80D6-9B6961C71318}"/>
    <dataValidation allowBlank="1" showInputMessage="1" showErrorMessage="1" promptTitle="Number of Input Pins" prompt="Only available for &quot;3.3V LVDS&quot; IO standard._x000a_For &quot;3.3V LVDS&quot; IO standard, 1 = 1 pair (P&amp;N) of LVDS channel_x000a_" sqref="F8" xr:uid="{C63CEF9B-BBE8-48C6-94FC-21C83DC901BD}"/>
    <dataValidation type="whole" allowBlank="1" showInputMessage="1" showErrorMessage="1" error="Valid range from 0 - 470" sqref="F15:F18" xr:uid="{98ECB549-8EF6-4676-9C06-49B00AAB32AB}">
      <formula1>0</formula1>
      <formula2>470</formula2>
    </dataValidation>
    <dataValidation type="whole" allowBlank="1" showInputMessage="1" showErrorMessage="1" error="Valid range from 0 - 595" sqref="G15:G18" xr:uid="{E79FE5FE-AD36-462E-BB2F-F60B15D2BD09}">
      <formula1>0</formula1>
      <formula2>595</formula2>
    </dataValidation>
    <dataValidation type="decimal" allowBlank="1" showInputMessage="1" showErrorMessage="1" error="Valid range from 0 - 100%" sqref="L9:M18" xr:uid="{B70012BC-9CF6-4D7E-9C7E-5860B1AB6F56}">
      <formula1>0</formula1>
      <formula2>100</formula2>
    </dataValidation>
    <dataValidation type="list" allowBlank="1" showInputMessage="1" showErrorMessage="1" sqref="B9:B18" xr:uid="{7D45C3AD-2F1E-45D6-84AE-D88E1A22FD87}">
      <formula1>$H$26:$H$31</formula1>
    </dataValidation>
    <dataValidation allowBlank="1" showInputMessage="1" showErrorMessage="1" promptTitle="Load Setting" prompt="Only for LVDS TX _x000a__x000a_0: 3pF output load setting in Efinity_x000a_1: 5pF output load setting in Efinity_x000a_2: 7pF output load setting in Efinity_x000a_3: 10pF output load setting in Efinity" sqref="E8" xr:uid="{60AFE4B5-3CB2-4E76-ACF3-7B8D7157765D}"/>
    <dataValidation allowBlank="1" showInputMessage="1" showErrorMessage="1" promptTitle="VOD" prompt="Only for LVDS TX_x000a__x000a_0: Disable VOD swing (uncheck &quot;Reduce VOD swing&quot; checkbox&quot;)  _x000a_1: Enable VOD swing (check &quot;Reduce VOD swing&quot; checkbox)" sqref="D8" xr:uid="{46DC79BB-7AF3-4436-A005-7C23F38A8144}"/>
    <dataValidation type="decimal" allowBlank="1" showErrorMessage="1" error="Only valid from 0% - 100%_x000a_" sqref="J41:J50" xr:uid="{EFC2981D-9A20-4330-87D7-B12484AA4A03}">
      <formula1>0</formula1>
      <formula2>1</formula2>
    </dataValidation>
    <dataValidation type="list" allowBlank="1" showInputMessage="1" showErrorMessage="1" sqref="F41:F50" xr:uid="{3A03B8B9-C852-4E30-A27D-6CDE3D006618}">
      <formula1>$F$56</formula1>
    </dataValidation>
    <dataValidation type="list" allowBlank="1" showInputMessage="1" showErrorMessage="1" sqref="B41:B50" xr:uid="{FD742B3B-766C-49BB-A61C-23380C1055FE}">
      <formula1>$B$56:$B$59</formula1>
    </dataValidation>
    <dataValidation allowBlank="1" showInputMessage="1" showErrorMessage="1" promptTitle="IO Standard" prompt="Only supported 1.8V LVCMOS,2.5V LVCMOS and 3.3V LVCMOS/LVTTL" sqref="B40" xr:uid="{A5A7D692-70A2-475F-A2C6-8ED1B425D448}"/>
    <dataValidation allowBlank="1" showErrorMessage="1" promptTitle="Number of output pins" prompt="Valid range from 0 - 55" sqref="D40" xr:uid="{BFE5DFED-E8F5-4E42-9FD9-C784D6EEDBEA}"/>
    <dataValidation allowBlank="1" showInputMessage="1" showErrorMessage="1" promptTitle="Data Rate" prompt="SDR=Single Data Rate" sqref="F40" xr:uid="{88F995D2-89A9-4DCC-AEB0-7BC9182001A3}"/>
    <dataValidation allowBlank="1" showInputMessage="1" showErrorMessage="1" promptTitle="Load" prompt="1pF is the die+package capacitance. If user board capacitancce is 10pF. User need to insert 11pF into the Load column" sqref="H40" xr:uid="{C6AF151C-96B0-4DE0-9300-F4ED65E021A0}"/>
    <dataValidation allowBlank="1" showInputMessage="1" showErrorMessage="1" promptTitle="Activity Factor" prompt="AF is the activity factor that the output change value with respect to the clock cycle. An AF of 100% meant every positive edge (or every negative edge) of the clock, the output is change value" sqref="J40" xr:uid="{59411BE6-62C2-4BF8-9491-19A1F170B530}"/>
    <dataValidation type="list" allowBlank="1" showInputMessage="1" showErrorMessage="1" sqref="I9" xr:uid="{5A547D54-B915-49EB-BF5C-E714E262D14D}">
      <formula1>IF($B$9="3.3V LVDS",$F$26,$G$26:$G$27)</formula1>
    </dataValidation>
    <dataValidation type="list" allowBlank="1" showInputMessage="1" showErrorMessage="1" sqref="I10" xr:uid="{BB1575BF-2943-40B7-B50E-768DF8105F93}">
      <formula1>IF($B$10="3.3V LVDS",$F$26,$G$26:$G$27)</formula1>
    </dataValidation>
    <dataValidation type="list" allowBlank="1" showInputMessage="1" showErrorMessage="1" sqref="I11" xr:uid="{6737A19A-D9F5-49C6-810D-D086BD11D5DE}">
      <formula1>IF($B$11="3.3V LVDS",$F$26,$G$26:$G$27)</formula1>
    </dataValidation>
    <dataValidation type="list" allowBlank="1" showInputMessage="1" showErrorMessage="1" sqref="I12" xr:uid="{27CBFF92-6002-4BDC-916C-8654597305D0}">
      <formula1>IF($B$12="3.3V LVDS",$F$26,$G$26:$G$27)</formula1>
    </dataValidation>
    <dataValidation type="list" allowBlank="1" showInputMessage="1" showErrorMessage="1" sqref="I13" xr:uid="{A44D8BA3-7193-42E5-B2EB-A69A2612F2EC}">
      <formula1>IF($B$13="3.3V LVDS",$F$26,$G$26:$G$27)</formula1>
    </dataValidation>
    <dataValidation type="list" allowBlank="1" showInputMessage="1" showErrorMessage="1" sqref="I14" xr:uid="{D08DC336-CD35-44FE-A0A9-7D6E4018CF93}">
      <formula1>IF($B$14="3.3V LVDS",$F$26,$G$26:$G$27)</formula1>
    </dataValidation>
    <dataValidation type="list" allowBlank="1" showInputMessage="1" showErrorMessage="1" sqref="I15" xr:uid="{22D74DD7-C6F5-4C85-B346-A32659564BCA}">
      <formula1>IF($B$15="3.3V LVDS",$F$26,$G$26:$G$27)</formula1>
    </dataValidation>
    <dataValidation type="list" allowBlank="1" showInputMessage="1" showErrorMessage="1" sqref="I16" xr:uid="{48A0D781-6B69-4669-A07B-CFDBF2D570A6}">
      <formula1>IF($B$16="3.3V LVDS",$F$26,$G$26:$G$27)</formula1>
    </dataValidation>
    <dataValidation type="list" allowBlank="1" showInputMessage="1" showErrorMessage="1" sqref="I17" xr:uid="{294BDC62-2F87-4DA2-A3FD-F182508179AC}">
      <formula1>IF($B$17="3.3V LVDS",$F$26,$G$26:$G$27)</formula1>
    </dataValidation>
    <dataValidation type="list" allowBlank="1" showInputMessage="1" showErrorMessage="1" sqref="I18" xr:uid="{6F04E29F-3EAA-4D7D-8009-248A0B4BCA14}">
      <formula1>IF($B$18="3.3V LVDS",$F$26,$G$26:$G$27)</formula1>
    </dataValidation>
    <dataValidation allowBlank="1" showInputMessage="1" showErrorMessage="1" promptTitle="Number of Bidirectional IO" prompt="Not available for &quot;3.3V LVDS&quot; IO standard._x000a_For others IO standard, 1 = 1 IO" sqref="H8" xr:uid="{1B7F5D1E-AF9B-47D4-ADBF-8B3F49587DB1}"/>
    <dataValidation type="whole" operator="greaterThanOrEqual" allowBlank="1" showInputMessage="1" showErrorMessage="1" error="Valid number must be greater than or equal to 0" sqref="D41:D50 E41:E77" xr:uid="{54ACB692-DCDE-49DC-A4C0-6A027772FD97}">
      <formula1>0</formula1>
    </dataValidation>
    <dataValidation type="decimal" operator="greaterThanOrEqual" allowBlank="1" showInputMessage="1" showErrorMessage="1" error="Valid number must be greater than or equal to 0" sqref="H41:H46 G41:G50" xr:uid="{C14B9EE9-E477-45FC-82D9-903EF4BA9D7F}">
      <formula1>0</formula1>
    </dataValidation>
    <dataValidation type="decimal" allowBlank="1" showInputMessage="1" showErrorMessage="1" sqref="I41:I50" xr:uid="{5004AF9B-DFF4-4E13-9103-34B6C831D247}">
      <formula1>0</formula1>
      <formula2>1</formula2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6"/>
  <sheetViews>
    <sheetView showGridLines="0" showRowColHeaders="0" zoomScaleNormal="100" workbookViewId="0">
      <selection sqref="A1:C1"/>
    </sheetView>
  </sheetViews>
  <sheetFormatPr defaultColWidth="9.109375" defaultRowHeight="14.4" x14ac:dyDescent="0.3"/>
  <cols>
    <col min="1" max="1" width="14.6640625" style="1" customWidth="1"/>
    <col min="2" max="2" width="23.44140625" style="1" customWidth="1"/>
    <col min="3" max="3" width="17.109375" style="1" customWidth="1"/>
    <col min="4" max="4" width="14.88671875" style="1" customWidth="1"/>
    <col min="5" max="5" width="9.109375" style="1"/>
    <col min="6" max="6" width="9.44140625" style="1" customWidth="1"/>
    <col min="7" max="7" width="9" style="1" hidden="1" customWidth="1"/>
    <col min="8" max="8" width="8.5546875" style="1" hidden="1" customWidth="1"/>
    <col min="9" max="9" width="6.33203125" style="1" hidden="1" customWidth="1"/>
    <col min="10" max="10" width="5.88671875" style="1" hidden="1" customWidth="1"/>
    <col min="11" max="16384" width="9.109375" style="1"/>
  </cols>
  <sheetData>
    <row r="1" spans="1:10" ht="25.8" x14ac:dyDescent="0.3">
      <c r="A1" s="156" t="s">
        <v>89</v>
      </c>
      <c r="B1" s="156"/>
      <c r="C1" s="156"/>
    </row>
    <row r="2" spans="1:10" ht="21" x14ac:dyDescent="0.4">
      <c r="A2" s="85" t="s">
        <v>35</v>
      </c>
      <c r="B2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2" s="87">
        <f>IF(SUM(D7:D25)&gt;0,SUM(G7:G25)+SUM(I7:I25),0)</f>
        <v>0</v>
      </c>
    </row>
    <row r="3" spans="1:10" ht="21" x14ac:dyDescent="0.4">
      <c r="A3" s="85" t="s">
        <v>37</v>
      </c>
      <c r="B3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3" s="87">
        <f>IF(SUM(D7:D25)&gt;0,SUM(H7:H25)+SUM(J7:J25),0)</f>
        <v>0</v>
      </c>
    </row>
    <row r="4" spans="1:10" ht="21" hidden="1" x14ac:dyDescent="0.4">
      <c r="A4" s="85" t="s">
        <v>90</v>
      </c>
      <c r="B4" s="86">
        <f>IF(Package="Q144",IF(calTotal!E10="Nominal",1.2,IF(calTotal!E10="Minimum",1.15,IF(calTotal!E10="Maximum",1.25,"Invalid"))),IF(calTotal!E10="Nominal",1.1,IF(calTotal!E10="Minimum",1.05,IF(calTotal!E10="Maximum",1.15,"Invalid"))))</f>
        <v>1.1000000000000001</v>
      </c>
      <c r="C4" s="87">
        <f>SUM(C2:C3)</f>
        <v>0</v>
      </c>
    </row>
    <row r="5" spans="1:10" x14ac:dyDescent="0.3">
      <c r="G5" s="21" t="s">
        <v>63</v>
      </c>
      <c r="H5" s="21" t="s">
        <v>64</v>
      </c>
      <c r="I5" s="21" t="s">
        <v>91</v>
      </c>
      <c r="J5" s="21" t="s">
        <v>65</v>
      </c>
    </row>
    <row r="6" spans="1:10" ht="28.8" x14ac:dyDescent="0.3">
      <c r="A6" s="88" t="s">
        <v>47</v>
      </c>
      <c r="B6" s="89" t="s">
        <v>92</v>
      </c>
      <c r="C6" s="89" t="s">
        <v>93</v>
      </c>
      <c r="D6" s="89" t="s">
        <v>52</v>
      </c>
      <c r="G6" s="21" t="s">
        <v>35</v>
      </c>
      <c r="H6" s="21" t="s">
        <v>37</v>
      </c>
      <c r="I6" s="21" t="s">
        <v>35</v>
      </c>
      <c r="J6" s="21" t="s">
        <v>37</v>
      </c>
    </row>
    <row r="7" spans="1:10" x14ac:dyDescent="0.3">
      <c r="A7" s="61"/>
      <c r="B7" s="61"/>
      <c r="C7" s="61"/>
      <c r="D7" s="60">
        <f>IF(AND(B7&gt;0,C7&gt;0),SUM(G7:J7),0)</f>
        <v>0</v>
      </c>
      <c r="G7" s="21">
        <f t="shared" ref="G7:G25" si="0">IF(Package="Q144",IF(B7&gt;0,((0.00099625*B7)*($B$2^2)),0),IF(B7&gt;0,(((0.0002/1.1)*B7)*($B$2^2)),0))</f>
        <v>0</v>
      </c>
      <c r="H7" s="21">
        <f t="shared" ref="H7:H25" si="1">IF(Package="Q144",IF(C7&gt;0,((0.002333*C7)*($B$3^2)),0),IF(C7&gt;0,(((0.0027/1.1)*C7)*($B$3^2)),0))</f>
        <v>0</v>
      </c>
      <c r="I7" s="21">
        <f t="shared" ref="I7:I25" si="2">IF(Package="Q144",IF(B7&gt;0,((0.431083)*($B$2^2)),0),IF(B7&gt;0,((0.6851/1.1^2)*($B$2^2)),0))</f>
        <v>0</v>
      </c>
      <c r="J7" s="21">
        <f t="shared" ref="J7:J25" si="3">IF(Package="Q144",IF(C7&gt;0,((0.56382)*($B$3^2)),0),IF(C7&gt;0,((0.4108/1.1^2)*($B$3^2)),0))</f>
        <v>0</v>
      </c>
    </row>
    <row r="8" spans="1:10" x14ac:dyDescent="0.3">
      <c r="A8" s="61"/>
      <c r="B8" s="61"/>
      <c r="C8" s="61"/>
      <c r="D8" s="60">
        <f t="shared" ref="D8:D24" si="4">IF(AND(B8&gt;0,C8&gt;0),SUM(G8:J8),0)</f>
        <v>0</v>
      </c>
      <c r="G8" s="21">
        <f t="shared" si="0"/>
        <v>0</v>
      </c>
      <c r="H8" s="21">
        <f t="shared" si="1"/>
        <v>0</v>
      </c>
      <c r="I8" s="21">
        <f t="shared" si="2"/>
        <v>0</v>
      </c>
      <c r="J8" s="21">
        <f t="shared" si="3"/>
        <v>0</v>
      </c>
    </row>
    <row r="9" spans="1:10" x14ac:dyDescent="0.3">
      <c r="A9" s="61"/>
      <c r="B9" s="61"/>
      <c r="C9" s="61"/>
      <c r="D9" s="60">
        <f t="shared" si="4"/>
        <v>0</v>
      </c>
      <c r="G9" s="21">
        <f t="shared" si="0"/>
        <v>0</v>
      </c>
      <c r="H9" s="21">
        <f t="shared" si="1"/>
        <v>0</v>
      </c>
      <c r="I9" s="21">
        <f t="shared" si="2"/>
        <v>0</v>
      </c>
      <c r="J9" s="21">
        <f t="shared" si="3"/>
        <v>0</v>
      </c>
    </row>
    <row r="10" spans="1:10" x14ac:dyDescent="0.3">
      <c r="A10" s="61"/>
      <c r="B10" s="61"/>
      <c r="C10" s="61"/>
      <c r="D10" s="60">
        <f t="shared" si="4"/>
        <v>0</v>
      </c>
      <c r="G10" s="21">
        <f t="shared" si="0"/>
        <v>0</v>
      </c>
      <c r="H10" s="21">
        <f t="shared" si="1"/>
        <v>0</v>
      </c>
      <c r="I10" s="21">
        <f t="shared" si="2"/>
        <v>0</v>
      </c>
      <c r="J10" s="21">
        <f t="shared" si="3"/>
        <v>0</v>
      </c>
    </row>
    <row r="11" spans="1:10" x14ac:dyDescent="0.3">
      <c r="A11" s="61"/>
      <c r="B11" s="61"/>
      <c r="C11" s="61"/>
      <c r="D11" s="60">
        <f t="shared" si="4"/>
        <v>0</v>
      </c>
      <c r="G11" s="21">
        <f t="shared" si="0"/>
        <v>0</v>
      </c>
      <c r="H11" s="21">
        <f t="shared" si="1"/>
        <v>0</v>
      </c>
      <c r="I11" s="21">
        <f t="shared" si="2"/>
        <v>0</v>
      </c>
      <c r="J11" s="21">
        <f t="shared" si="3"/>
        <v>0</v>
      </c>
    </row>
    <row r="12" spans="1:10" x14ac:dyDescent="0.3">
      <c r="A12" s="61"/>
      <c r="B12" s="61"/>
      <c r="C12" s="61"/>
      <c r="D12" s="60">
        <f t="shared" si="4"/>
        <v>0</v>
      </c>
      <c r="G12" s="21">
        <f t="shared" si="0"/>
        <v>0</v>
      </c>
      <c r="H12" s="21">
        <f t="shared" si="1"/>
        <v>0</v>
      </c>
      <c r="I12" s="21">
        <f t="shared" si="2"/>
        <v>0</v>
      </c>
      <c r="J12" s="21">
        <f t="shared" si="3"/>
        <v>0</v>
      </c>
    </row>
    <row r="13" spans="1:10" hidden="1" x14ac:dyDescent="0.3">
      <c r="A13" s="61"/>
      <c r="B13" s="61"/>
      <c r="C13" s="61"/>
      <c r="D13" s="60">
        <f t="shared" si="4"/>
        <v>0</v>
      </c>
      <c r="G13" s="21">
        <f t="shared" si="0"/>
        <v>0</v>
      </c>
      <c r="H13" s="21">
        <f t="shared" si="1"/>
        <v>0</v>
      </c>
      <c r="I13" s="21">
        <f t="shared" si="2"/>
        <v>0</v>
      </c>
      <c r="J13" s="21">
        <f t="shared" si="3"/>
        <v>0</v>
      </c>
    </row>
    <row r="14" spans="1:10" hidden="1" x14ac:dyDescent="0.3">
      <c r="A14" s="61"/>
      <c r="B14" s="61"/>
      <c r="C14" s="61"/>
      <c r="D14" s="60">
        <f t="shared" si="4"/>
        <v>0</v>
      </c>
      <c r="G14" s="21">
        <f t="shared" si="0"/>
        <v>0</v>
      </c>
      <c r="H14" s="21">
        <f t="shared" si="1"/>
        <v>0</v>
      </c>
      <c r="I14" s="21">
        <f t="shared" si="2"/>
        <v>0</v>
      </c>
      <c r="J14" s="21">
        <f t="shared" si="3"/>
        <v>0</v>
      </c>
    </row>
    <row r="15" spans="1:10" hidden="1" x14ac:dyDescent="0.3">
      <c r="A15" s="61"/>
      <c r="B15" s="61"/>
      <c r="C15" s="61"/>
      <c r="D15" s="60">
        <f t="shared" si="4"/>
        <v>0</v>
      </c>
      <c r="G15" s="21">
        <f t="shared" si="0"/>
        <v>0</v>
      </c>
      <c r="H15" s="21">
        <f t="shared" si="1"/>
        <v>0</v>
      </c>
      <c r="I15" s="21">
        <f t="shared" si="2"/>
        <v>0</v>
      </c>
      <c r="J15" s="21">
        <f t="shared" si="3"/>
        <v>0</v>
      </c>
    </row>
    <row r="16" spans="1:10" hidden="1" x14ac:dyDescent="0.3">
      <c r="A16" s="61"/>
      <c r="B16" s="61"/>
      <c r="C16" s="61"/>
      <c r="D16" s="60">
        <f t="shared" si="4"/>
        <v>0</v>
      </c>
      <c r="G16" s="21">
        <f t="shared" si="0"/>
        <v>0</v>
      </c>
      <c r="H16" s="21">
        <f t="shared" si="1"/>
        <v>0</v>
      </c>
      <c r="I16" s="21">
        <f t="shared" si="2"/>
        <v>0</v>
      </c>
      <c r="J16" s="21">
        <f t="shared" si="3"/>
        <v>0</v>
      </c>
    </row>
    <row r="17" spans="1:10" hidden="1" x14ac:dyDescent="0.3">
      <c r="A17" s="61"/>
      <c r="B17" s="61"/>
      <c r="C17" s="61"/>
      <c r="D17" s="60">
        <f t="shared" si="4"/>
        <v>0</v>
      </c>
      <c r="G17" s="21">
        <f t="shared" si="0"/>
        <v>0</v>
      </c>
      <c r="H17" s="21">
        <f t="shared" si="1"/>
        <v>0</v>
      </c>
      <c r="I17" s="21">
        <f t="shared" si="2"/>
        <v>0</v>
      </c>
      <c r="J17" s="21">
        <f t="shared" si="3"/>
        <v>0</v>
      </c>
    </row>
    <row r="18" spans="1:10" hidden="1" x14ac:dyDescent="0.3">
      <c r="A18" s="61"/>
      <c r="B18" s="61"/>
      <c r="C18" s="61"/>
      <c r="D18" s="60">
        <f t="shared" si="4"/>
        <v>0</v>
      </c>
      <c r="G18" s="21">
        <f t="shared" si="0"/>
        <v>0</v>
      </c>
      <c r="H18" s="21">
        <f t="shared" si="1"/>
        <v>0</v>
      </c>
      <c r="I18" s="21">
        <f t="shared" si="2"/>
        <v>0</v>
      </c>
      <c r="J18" s="21">
        <f t="shared" si="3"/>
        <v>0</v>
      </c>
    </row>
    <row r="19" spans="1:10" hidden="1" x14ac:dyDescent="0.3">
      <c r="A19" s="61"/>
      <c r="B19" s="61"/>
      <c r="C19" s="61"/>
      <c r="D19" s="60">
        <f t="shared" si="4"/>
        <v>0</v>
      </c>
      <c r="G19" s="21">
        <f t="shared" si="0"/>
        <v>0</v>
      </c>
      <c r="H19" s="21">
        <f t="shared" si="1"/>
        <v>0</v>
      </c>
      <c r="I19" s="21">
        <f t="shared" si="2"/>
        <v>0</v>
      </c>
      <c r="J19" s="21">
        <f t="shared" si="3"/>
        <v>0</v>
      </c>
    </row>
    <row r="20" spans="1:10" hidden="1" x14ac:dyDescent="0.3">
      <c r="A20" s="61"/>
      <c r="B20" s="61"/>
      <c r="C20" s="61"/>
      <c r="D20" s="60">
        <f t="shared" si="4"/>
        <v>0</v>
      </c>
      <c r="G20" s="21">
        <f t="shared" si="0"/>
        <v>0</v>
      </c>
      <c r="H20" s="21">
        <f t="shared" si="1"/>
        <v>0</v>
      </c>
      <c r="I20" s="21">
        <f t="shared" si="2"/>
        <v>0</v>
      </c>
      <c r="J20" s="21">
        <f t="shared" si="3"/>
        <v>0</v>
      </c>
    </row>
    <row r="21" spans="1:10" hidden="1" x14ac:dyDescent="0.3">
      <c r="A21" s="61"/>
      <c r="B21" s="61"/>
      <c r="C21" s="61"/>
      <c r="D21" s="60">
        <f t="shared" si="4"/>
        <v>0</v>
      </c>
      <c r="G21" s="21">
        <f t="shared" si="0"/>
        <v>0</v>
      </c>
      <c r="H21" s="21">
        <f t="shared" si="1"/>
        <v>0</v>
      </c>
      <c r="I21" s="21">
        <f t="shared" si="2"/>
        <v>0</v>
      </c>
      <c r="J21" s="21">
        <f t="shared" si="3"/>
        <v>0</v>
      </c>
    </row>
    <row r="22" spans="1:10" hidden="1" x14ac:dyDescent="0.3">
      <c r="A22" s="61"/>
      <c r="B22" s="61"/>
      <c r="C22" s="61"/>
      <c r="D22" s="60">
        <f t="shared" si="4"/>
        <v>0</v>
      </c>
      <c r="G22" s="21">
        <f t="shared" si="0"/>
        <v>0</v>
      </c>
      <c r="H22" s="21">
        <f t="shared" si="1"/>
        <v>0</v>
      </c>
      <c r="I22" s="21">
        <f t="shared" si="2"/>
        <v>0</v>
      </c>
      <c r="J22" s="21">
        <f t="shared" si="3"/>
        <v>0</v>
      </c>
    </row>
    <row r="23" spans="1:10" hidden="1" x14ac:dyDescent="0.3">
      <c r="A23" s="61"/>
      <c r="B23" s="61"/>
      <c r="C23" s="61"/>
      <c r="D23" s="60">
        <f t="shared" si="4"/>
        <v>0</v>
      </c>
      <c r="G23" s="21">
        <f t="shared" si="0"/>
        <v>0</v>
      </c>
      <c r="H23" s="21">
        <f t="shared" si="1"/>
        <v>0</v>
      </c>
      <c r="I23" s="21">
        <f t="shared" si="2"/>
        <v>0</v>
      </c>
      <c r="J23" s="21">
        <f t="shared" si="3"/>
        <v>0</v>
      </c>
    </row>
    <row r="24" spans="1:10" hidden="1" x14ac:dyDescent="0.3">
      <c r="A24" s="61"/>
      <c r="B24" s="61"/>
      <c r="C24" s="61"/>
      <c r="D24" s="60">
        <f t="shared" si="4"/>
        <v>0</v>
      </c>
      <c r="G24" s="21">
        <f t="shared" si="0"/>
        <v>0</v>
      </c>
      <c r="H24" s="21">
        <f t="shared" si="1"/>
        <v>0</v>
      </c>
      <c r="I24" s="21">
        <f t="shared" si="2"/>
        <v>0</v>
      </c>
      <c r="J24" s="21">
        <f t="shared" si="3"/>
        <v>0</v>
      </c>
    </row>
    <row r="25" spans="1:10" hidden="1" x14ac:dyDescent="0.3">
      <c r="A25" s="61"/>
      <c r="B25" s="61"/>
      <c r="C25" s="61"/>
      <c r="D25" s="60">
        <f>IF(AND(B25&gt;0,C25&gt;0),SUM(G25:J25),0)</f>
        <v>0</v>
      </c>
      <c r="G25" s="21">
        <f t="shared" si="0"/>
        <v>0</v>
      </c>
      <c r="H25" s="21">
        <f t="shared" si="1"/>
        <v>0</v>
      </c>
      <c r="I25" s="21">
        <f t="shared" si="2"/>
        <v>0</v>
      </c>
      <c r="J25" s="21">
        <f t="shared" si="3"/>
        <v>0</v>
      </c>
    </row>
    <row r="26" spans="1:10" x14ac:dyDescent="0.3">
      <c r="A26" s="3"/>
    </row>
  </sheetData>
  <sheetProtection algorithmName="SHA-512" hashValue="ZRIr5ohrKA8SLVTwtlGfcu1pIVAZA1VojgjZiRzci0t1R7DxaI4RG00FWKg1aO/W1jV1TFjwxAtVPQcfk3cJgw==" saltValue="wi1aLSJl6hSZFuVYScueQg==" spinCount="100000" sheet="1" objects="1" scenarios="1"/>
  <mergeCells count="1">
    <mergeCell ref="A1:C1"/>
  </mergeCells>
  <dataValidations count="4">
    <dataValidation allowBlank="1" showInputMessage="1" showErrorMessage="1" promptTitle="VCO Frequency" prompt="Valid range from 500MHz - 1600MHz" sqref="C6" xr:uid="{A98C10D3-817F-4D92-8082-E06441A0CB80}"/>
    <dataValidation allowBlank="1" showInputMessage="1" showErrorMessage="1" promptTitle="Output Clock Frequency" prompt="Insert the highest value of output clock frequency. If there are 3 PLL output clock frequency (10MHz, 20MHz and 50 MHz), insert 50MHz. Valid range from 0.24MHz - 500MHz" sqref="B6" xr:uid="{CBB82DCA-A568-4CA9-8DE8-173D6F987779}"/>
    <dataValidation type="decimal" allowBlank="1" showInputMessage="1" showErrorMessage="1" error="Valid range from 500MHz - 1600MHz" sqref="C7:C25" xr:uid="{E7EBFA8F-7DA6-4A7A-A228-561C3154F684}">
      <formula1>500</formula1>
      <formula2>1600</formula2>
    </dataValidation>
    <dataValidation type="decimal" allowBlank="1" showInputMessage="1" showErrorMessage="1" errorTitle="output clock frequency from PLL" error="Valid range from 0.24MHz - 500MHz" sqref="B7:B25" xr:uid="{BEA90101-F5BD-4AA2-BB15-E1B07B570928}">
      <formula1>0.24</formula1>
      <formula2>500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81663-EEA5-491F-BBB8-13E03971D5F4}">
  <sheetPr codeName="Sheet9"/>
  <dimension ref="B3:C6"/>
  <sheetViews>
    <sheetView showGridLines="0" showRowColHeaders="0" workbookViewId="0">
      <selection activeCell="B3" sqref="B3:C3"/>
    </sheetView>
  </sheetViews>
  <sheetFormatPr defaultColWidth="8.88671875" defaultRowHeight="14.4" x14ac:dyDescent="0.3"/>
  <cols>
    <col min="1" max="2" width="8.88671875" style="1"/>
    <col min="3" max="3" width="102.88671875" style="1" bestFit="1" customWidth="1"/>
    <col min="4" max="16384" width="8.88671875" style="1"/>
  </cols>
  <sheetData>
    <row r="3" spans="2:3" ht="25.8" x14ac:dyDescent="0.5">
      <c r="B3" s="166" t="s">
        <v>94</v>
      </c>
      <c r="C3" s="166"/>
    </row>
    <row r="4" spans="2:3" x14ac:dyDescent="0.3">
      <c r="B4" s="76" t="s">
        <v>95</v>
      </c>
      <c r="C4" s="76" t="s">
        <v>96</v>
      </c>
    </row>
    <row r="5" spans="2:3" x14ac:dyDescent="0.3">
      <c r="B5" s="77">
        <v>0.1</v>
      </c>
      <c r="C5" s="78" t="s">
        <v>113</v>
      </c>
    </row>
    <row r="6" spans="2:3" x14ac:dyDescent="0.3">
      <c r="B6" s="77">
        <v>1</v>
      </c>
      <c r="C6" s="99" t="s">
        <v>115</v>
      </c>
    </row>
  </sheetData>
  <sheetProtection algorithmName="SHA-512" hashValue="hyb/JpLGP/DcOFRzgK4Vm54ZVojJWY9xvpAj562Zpe+x0ROGKXGKbbryERa089DmNzzbM3/v5zmFLf3+pNnzaw==" saltValue="/b4015N5Oam1VY+IfNFCLQ==" spinCount="100000" sheet="1" objects="1" scenarios="1"/>
  <mergeCells count="1">
    <mergeCell ref="B3:C3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6511A-6E45-428E-A2CB-AABB6D524C7A}">
  <sheetPr codeName="Sheet10"/>
  <dimension ref="B3:D6"/>
  <sheetViews>
    <sheetView showGridLines="0" showRowColHeaders="0" workbookViewId="0"/>
  </sheetViews>
  <sheetFormatPr defaultColWidth="8.88671875" defaultRowHeight="14.4" x14ac:dyDescent="0.3"/>
  <cols>
    <col min="1" max="1" width="8.88671875" style="1"/>
    <col min="2" max="2" width="11.33203125" style="1" customWidth="1"/>
    <col min="3" max="3" width="8.88671875" style="1"/>
    <col min="4" max="4" width="102.88671875" style="1" bestFit="1" customWidth="1"/>
    <col min="5" max="16384" width="8.88671875" style="1"/>
  </cols>
  <sheetData>
    <row r="3" spans="2:4" ht="25.8" x14ac:dyDescent="0.3">
      <c r="B3" s="167" t="s">
        <v>94</v>
      </c>
      <c r="C3" s="167"/>
      <c r="D3" s="167"/>
    </row>
    <row r="4" spans="2:4" x14ac:dyDescent="0.3">
      <c r="B4" s="6" t="s">
        <v>166</v>
      </c>
      <c r="C4" s="141" t="s">
        <v>95</v>
      </c>
      <c r="D4" s="76" t="s">
        <v>96</v>
      </c>
    </row>
    <row r="5" spans="2:4" x14ac:dyDescent="0.3">
      <c r="B5" s="139">
        <v>44019</v>
      </c>
      <c r="C5" s="77">
        <v>1</v>
      </c>
      <c r="D5" s="100" t="s">
        <v>115</v>
      </c>
    </row>
    <row r="6" spans="2:4" x14ac:dyDescent="0.3">
      <c r="B6" s="140">
        <v>44946</v>
      </c>
      <c r="C6" s="78">
        <v>1.1000000000000001</v>
      </c>
      <c r="D6" s="101" t="s">
        <v>116</v>
      </c>
    </row>
  </sheetData>
  <sheetProtection algorithmName="SHA-512" hashValue="b2rsaSJABkxlPmSPlVXnEFEZdSMKmBilX0E1NCeBjA060HY7NOMPsKApF5cFBAsxctkB2Kycq9ixES5NQXBzeA==" saltValue="QEpezFgyWNdqOWdW4Cf4kg==" spinCount="100000" sheet="1" objects="1" scenarios="1"/>
  <mergeCells count="1">
    <mergeCell ref="B3:D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Ratings xmlns="http://schemas.microsoft.com/sharepoint/v3" xsi:nil="true"/>
    <LikedBy xmlns="http://schemas.microsoft.com/sharepoint/v3">
      <UserInfo>
        <DisplayName/>
        <AccountId xsi:nil="true"/>
        <AccountType/>
      </UserInfo>
    </LikedBy>
    <RatedBy xmlns="http://schemas.microsoft.com/sharepoint/v3">
      <UserInfo>
        <DisplayName/>
        <AccountId xsi:nil="true"/>
        <AccountType/>
      </UserInfo>
    </RatedBy>
    <SharedWithUsers xmlns="3e1e7046-65b5-43ad-8087-f96f42dd0ebd">
      <UserInfo>
        <DisplayName/>
        <AccountId xsi:nil="true"/>
        <AccountType/>
      </UserInfo>
    </SharedWithUsers>
    <_Flow_SignoffStatus xmlns="f7f75595-742f-4086-aae6-402fb052e72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15B56E707B5B45AB4481360F3156DA" ma:contentTypeVersion="19" ma:contentTypeDescription="Create a new document." ma:contentTypeScope="" ma:versionID="12b9027f629fba67eac87a40653cd755">
  <xsd:schema xmlns:xsd="http://www.w3.org/2001/XMLSchema" xmlns:xs="http://www.w3.org/2001/XMLSchema" xmlns:p="http://schemas.microsoft.com/office/2006/metadata/properties" xmlns:ns1="http://schemas.microsoft.com/sharepoint/v3" xmlns:ns2="f7f75595-742f-4086-aae6-402fb052e724" xmlns:ns3="3e1e7046-65b5-43ad-8087-f96f42dd0ebd" targetNamespace="http://schemas.microsoft.com/office/2006/metadata/properties" ma:root="true" ma:fieldsID="a1b4341784e88157dea7a49048dca5a0" ns1:_="" ns2:_="" ns3:_="">
    <xsd:import namespace="http://schemas.microsoft.com/sharepoint/v3"/>
    <xsd:import namespace="f7f75595-742f-4086-aae6-402fb052e724"/>
    <xsd:import namespace="3e1e7046-65b5-43ad-8087-f96f42dd0e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Tags" minOccurs="0"/>
                <xsd:element ref="ns2:MediaServiceOCR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16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17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0" nillable="true" ma:displayName="Number of Likes" ma:internalName="LikesCount">
      <xsd:simpleType>
        <xsd:restriction base="dms:Unknown"/>
      </xsd:simpleType>
    </xsd:element>
    <xsd:element name="LikedBy" ma:index="21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f75595-742f-4086-aae6-402fb052e7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26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1e7046-65b5-43ad-8087-f96f42dd0eb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99939A-0849-4D29-9F97-9B3BF6EB99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F421D3-EE48-4DEC-88D4-DA91B5C9BF96}">
  <ds:schemaRefs>
    <ds:schemaRef ds:uri="http://www.w3.org/XML/1998/namespace"/>
    <ds:schemaRef ds:uri="http://schemas.microsoft.com/sharepoint/v3"/>
    <ds:schemaRef ds:uri="f7f75595-742f-4086-aae6-402fb052e724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3e1e7046-65b5-43ad-8087-f96f42dd0ebd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D8D01ED-F66D-4C4F-B888-44033892D2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7f75595-742f-4086-aae6-402fb052e724"/>
    <ds:schemaRef ds:uri="3e1e7046-65b5-43ad-8087-f96f42dd0e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Total</vt:lpstr>
      <vt:lpstr>Error Combinations</vt:lpstr>
      <vt:lpstr>Logic</vt:lpstr>
      <vt:lpstr>Memory</vt:lpstr>
      <vt:lpstr>Multiplier</vt:lpstr>
      <vt:lpstr>Clock</vt:lpstr>
      <vt:lpstr>IO</vt:lpstr>
      <vt:lpstr>PLL</vt:lpstr>
      <vt:lpstr>Revision History</vt:lpstr>
      <vt:lpstr>Total!new</vt:lpstr>
      <vt:lpstr>new</vt:lpstr>
      <vt:lpstr>Total!Package</vt:lpstr>
      <vt:lpstr>Package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mwoo</dc:creator>
  <cp:keywords/>
  <dc:description/>
  <cp:lastModifiedBy>cykhor</cp:lastModifiedBy>
  <cp:revision/>
  <dcterms:created xsi:type="dcterms:W3CDTF">2018-09-18T17:13:34Z</dcterms:created>
  <dcterms:modified xsi:type="dcterms:W3CDTF">2023-01-20T11:19:05Z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0x0101003215B56E707B5B45AB4481360F3156DA</vt:lpwstr>
  </property>
  <property fmtid="{D5CDD505-2E9C-101B-9397-08002B2CF9AE}" pid="3" name="Order">
    <vt:r8>5611400</vt:r8>
  </property>
  <property fmtid="{D5CDD505-2E9C-101B-9397-08002B2CF9AE}" pid="4" name="xd_Signature">
    <vt:bool>false</vt:bool>
  </property>
  <property fmtid="{D5CDD505-2E9C-101B-9397-08002B2CF9AE}" pid="5" name="AuthorIds_UIVersion_4096">
    <vt:lpwstr>30</vt:lpwstr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</Properties>
</file>